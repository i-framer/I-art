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5158f8092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Summary" sheetId="1" r:id="Rfe1742d9459b4f4c"/>
    <x:sheet xmlns:r="http://schemas.openxmlformats.org/officeDocument/2006/relationships" name="Task Estimates" sheetId="2" r:id="R31dd2eecda824ba9"/>
    <x:sheet xmlns:r="http://schemas.openxmlformats.org/officeDocument/2006/relationships" name="External Work" sheetId="3" r:id="R221ac792c4d24799"/>
    <x:sheet xmlns:r="http://schemas.openxmlformats.org/officeDocument/2006/relationships" name="Methodology" sheetId="4" r:id="R36b57d502ea947e3"/>
    <x:sheet xmlns:r="http://schemas.openxmlformats.org/officeDocument/2006/relationships" name="Weekly Summary" sheetId="5" r:id="Rf62338801d5c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0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2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2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202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99e8c4f6e4bd3" /><Relationship Type="http://schemas.openxmlformats.org/officeDocument/2006/relationships/theme" Target="/xl/theme/theme1.xml" Id="R1945ecc34fa645ee" /><Relationship Type="http://schemas.openxmlformats.org/officeDocument/2006/relationships/sharedStrings" Target="/xl/sharedStrings.xml" Id="Rcc77ab274e2a4a8d" /><Relationship Type="http://schemas.openxmlformats.org/officeDocument/2006/relationships/worksheet" Target="/xl/worksheets/sheet1.xml" Id="Rfe1742d9459b4f4c" /><Relationship Type="http://schemas.openxmlformats.org/officeDocument/2006/relationships/worksheet" Target="/xl/worksheets/sheet2.xml" Id="R31dd2eecda824ba9" /><Relationship Type="http://schemas.openxmlformats.org/officeDocument/2006/relationships/worksheet" Target="/xl/worksheets/sheet3.xml" Id="R221ac792c4d24799" /><Relationship Type="http://schemas.openxmlformats.org/officeDocument/2006/relationships/worksheet" Target="/xl/worksheets/sheet4.xml" Id="R36b57d502ea947e3" /><Relationship Type="http://schemas.openxmlformats.org/officeDocument/2006/relationships/worksheet" Target="/xl/worksheets/sheet5.xml" Id="Rf62338801d5c49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0a9d2a123d41a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26b9793800948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Estimated Engineering Hours by Day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Estimated Daily Total Hrs</c:v>
          </c:tx>
          <c:cat>
            <c:strRef>
              <c:f>'Daily Summary'!$A$2:$A$11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'Daily Summary'!$H$2:$H$11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Estimated Hours by Week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Estimated Total Hrs</c:v>
          </c:tx>
          <c:cat>
            <c:strRef>
              <c:f>'Weekly Summary'!$A$2:$A$3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 Summary'!$H$2:$H$3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0a9d2a123d41a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6b9793800948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DailySummaryTable" displayName="DailySummaryTable" ref="A1:I11" headerRowCount="1" totalsRowCount="0" totalsRowShown="0">
  <x:tableColumns count="9">
    <x:tableColumn id="1" name="Date"/>
    <x:tableColumn id="2" name="Task Estimate Min"/>
    <x:tableColumn id="3" name="Task Estimate Hrs"/>
    <x:tableColumn id="4" name="Confirmed External Min"/>
    <x:tableColumn id="5" name="Confirmed External Hrs"/>
    <x:tableColumn id="6" name="Uncertain External Min"/>
    <x:tableColumn id="7" name="Pending External Min"/>
    <x:tableColumn id="8" name="Estimated Daily Total Hrs"/>
    <x:tableColumn id="9" name="Key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skEstimateTable" displayName="TaskEstimateTable" ref="A1:H133" headerRowCount="1" totalsRowCount="0" totalsRowShown="0">
  <x:tableColumns count="8">
    <x:tableColumn id="1" name="Date"/>
    <x:tableColumn id="2" name="Task / Work Item"/>
    <x:tableColumn id="3" name="Category"/>
    <x:tableColumn id="4" name="Source Description"/>
    <x:tableColumn id="5" name="Estimated Minutes"/>
    <x:tableColumn id="6" name="Estimated Hours"/>
    <x:tableColumn id="7" name="Complexity"/>
    <x:tableColumn id="8" name="Estimate Ba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ExternalWorkTable" displayName="ExternalWorkTable" ref="A1:G9" headerRowCount="1" totalsRowCount="0" totalsRowShown="0">
  <x:tableColumns count="7">
    <x:tableColumn id="1" name="Date"/>
    <x:tableColumn id="2" name="External Activity"/>
    <x:tableColumn id="3" name="Status"/>
    <x:tableColumn id="4" name="Low Min"/>
    <x:tableColumn id="5" name="High Min"/>
    <x:tableColumn id="6" name="Midpoint Min"/>
    <x:tableColumn id="7" name="Midpoint Hou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lySummaryTable" displayName="WeeklySummaryTable" ref="A1:J3" headerRowCount="1" totalsRowCount="0" totalsRowShown="0">
  <x:tableColumns count="10">
    <x:tableColumn id="1" name="Week"/>
    <x:tableColumn id="2" name="Period"/>
    <x:tableColumn id="3" name="Active Days"/>
    <x:tableColumn id="4" name="Task Estimate Hrs"/>
    <x:tableColumn id="5" name="Confirmed External Hrs"/>
    <x:tableColumn id="6" name="Uncertain External Hrs"/>
    <x:tableColumn id="7" name="Pending External Hrs"/>
    <x:tableColumn id="8" name="Estimated Total Hrs"/>
    <x:tableColumn id="9" name="Major Deliverables"/>
    <x:tableColumn id="10" name="Invoi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6b91c473ac4ece" /><Relationship Type="http://schemas.openxmlformats.org/officeDocument/2006/relationships/table" Target="/xl/tables/table1.xml" Id="R8b0990d796bb41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1170c589fd4e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7ec08609f443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a621545d95c54500" /><Relationship Type="http://schemas.openxmlformats.org/officeDocument/2006/relationships/table" Target="/xl/tables/table4.xml" Id="R7b9cfc338fbf4ae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2" hidden="0" customWidth="1"/>
  </x:cols>
  <x:sheetData>
    <x:row r="1">
      <x:c r="A1" s="6" t="str">
        <x:v>Date</x:v>
      </x:c>
      <x:c r="B1" s="6" t="str">
        <x:v>Task Estimate Min</x:v>
      </x:c>
      <x:c r="C1" s="6" t="str">
        <x:v>Task Estimate Hrs</x:v>
      </x:c>
      <x:c r="D1" s="6" t="str">
        <x:v>Confirmed External Min</x:v>
      </x:c>
      <x:c r="E1" s="6" t="str">
        <x:v>Confirmed External Hrs</x:v>
      </x:c>
      <x:c r="F1" s="6" t="str">
        <x:v>Uncertain External Min</x:v>
      </x:c>
      <x:c r="G1" s="6" t="str">
        <x:v>Pending External Min</x:v>
      </x:c>
      <x:c r="H1" s="6" t="str">
        <x:v>Estimated Daily Total Hrs</x:v>
      </x:c>
      <x:c r="I1" s="6" t="str">
        <x:v>Key Evidence</x:v>
      </x:c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9" t="n">
        <x:v>46235</x:v>
      </x:c>
      <x:c r="B2" s="20" t="n">
        <x:f>SUMIF('Task Estimates'!$A$2:$A$133,A2,'Task Estimates'!$E$2:$E$133)</x:f>
        <x:v>180</x:v>
      </x:c>
      <x:c r="C2" s="20" t="n">
        <x:f>B2/60</x:f>
        <x:v>3</x:v>
      </x:c>
      <x:c r="D2" s="20" t="n">
        <x:f>SUMIFS('External Work'!$F$2:$F$9,'External Work'!$A$2:$A$9,A2,'External Work'!$C$2:$C$9,"Confirmed External")</x:f>
        <x:v>0</x:v>
      </x:c>
      <x:c r="E2" s="20" t="n">
        <x:f>D2/60</x:f>
        <x:v>0</x:v>
      </x:c>
      <x:c r="F2" s="20" t="n">
        <x:f>SUMIFS('External Work'!$F$2:$F$9,'External Work'!$A$2:$A$9,A2,'External Work'!$C$2:$C$9,"Uncertain")</x:f>
        <x:v>0</x:v>
      </x:c>
      <x:c r="G2" s="20" t="n">
        <x:f>SUMIFS('External Work'!$F$2:$F$9,'External Work'!$A$2:$A$9,A2,'External Work'!$C$2:$C$9,"Pending")</x:f>
        <x:v>0</x:v>
      </x:c>
      <x:c r="H2" s="20" t="n">
        <x:f>(B2+D2)/60</x:f>
        <x:v>3</x:v>
      </x:c>
      <x:c r="I2" s="18" t="str">
        <x:v>Privacy/Terms; 30-day trial; webhook status; 8 commits</x:v>
      </x:c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 t="n">
        <x:v>46236</x:v>
      </x:c>
      <x:c r="B3" s="20" t="n">
        <x:f>SUMIF('Task Estimates'!$A$2:$A$133,A3,'Task Estimates'!$E$2:$E$133)</x:f>
        <x:v>0</x:v>
      </x:c>
      <x:c r="C3" s="20" t="n">
        <x:f>B3/60</x:f>
        <x:v>0</x:v>
      </x:c>
      <x:c r="D3" s="20" t="n">
        <x:f>SUMIFS('External Work'!$F$2:$F$9,'External Work'!$A$2:$A$9,A3,'External Work'!$C$2:$C$9,"Confirmed External")</x:f>
        <x:v>0</x:v>
      </x:c>
      <x:c r="E3" s="20" t="n">
        <x:f>D3/60</x:f>
        <x:v>0</x:v>
      </x:c>
      <x:c r="F3" s="20" t="n">
        <x:f>SUMIFS('External Work'!$F$2:$F$9,'External Work'!$A$2:$A$9,A3,'External Work'!$C$2:$C$9,"Uncertain")</x:f>
        <x:v>0</x:v>
      </x:c>
      <x:c r="G3" s="20" t="n">
        <x:f>SUMIFS('External Work'!$F$2:$F$9,'External Work'!$A$2:$A$9,A3,'External Work'!$C$2:$C$9,"Pending")</x:f>
        <x:v>0</x:v>
      </x:c>
      <x:c r="H3" s="20" t="n">
        <x:f>(B3+D3)/60</x:f>
        <x:v>0</x:v>
      </x:c>
      <x:c r="I3" s="18" t="str">
        <x:v>No recorded activity</x:v>
      </x:c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9" t="n">
        <x:v>46237</x:v>
      </x:c>
      <x:c r="B4" s="20" t="n">
        <x:f>SUMIF('Task Estimates'!$A$2:$A$133,A4,'Task Estimates'!$E$2:$E$133)</x:f>
        <x:v>523</x:v>
      </x:c>
      <x:c r="C4" s="20" t="n">
        <x:f>B4/60</x:f>
        <x:v>8.716666666666667</x:v>
      </x:c>
      <x:c r="D4" s="20" t="n">
        <x:f>SUMIFS('External Work'!$F$2:$F$9,'External Work'!$A$2:$A$9,A4,'External Work'!$C$2:$C$9,"Confirmed External")</x:f>
        <x:v>0</x:v>
      </x:c>
      <x:c r="E4" s="20" t="n">
        <x:f>D4/60</x:f>
        <x:v>0</x:v>
      </x:c>
      <x:c r="F4" s="20" t="n">
        <x:f>SUMIFS('External Work'!$F$2:$F$9,'External Work'!$A$2:$A$9,A4,'External Work'!$C$2:$C$9,"Uncertain")</x:f>
        <x:v>0</x:v>
      </x:c>
      <x:c r="G4" s="20" t="n">
        <x:f>SUMIFS('External Work'!$F$2:$F$9,'External Work'!$A$2:$A$9,A4,'External Work'!$C$2:$C$9,"Pending")</x:f>
        <x:v>0</x:v>
      </x:c>
      <x:c r="H4" s="20" t="n">
        <x:f>(B4+D4)/60</x:f>
        <x:v>8.716666666666667</x:v>
      </x:c>
      <x:c r="I4" s="18" t="str">
        <x:v>22+ tasks; security + routing/build fixes; 47 commits</x:v>
      </x:c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9" t="n">
        <x:v>46238</x:v>
      </x:c>
      <x:c r="B5" s="20" t="n">
        <x:f>SUMIF('Task Estimates'!$A$2:$A$133,A5,'Task Estimates'!$E$2:$E$133)</x:f>
        <x:v>351</x:v>
      </x:c>
      <x:c r="C5" s="20" t="n">
        <x:f>B5/60</x:f>
        <x:v>5.85</x:v>
      </x:c>
      <x:c r="D5" s="20" t="n">
        <x:f>SUMIFS('External Work'!$F$2:$F$9,'External Work'!$A$2:$A$9,A5,'External Work'!$C$2:$C$9,"Confirmed External")</x:f>
        <x:v>0</x:v>
      </x:c>
      <x:c r="E5" s="20" t="n">
        <x:f>D5/60</x:f>
        <x:v>0</x:v>
      </x:c>
      <x:c r="F5" s="20" t="n">
        <x:f>SUMIFS('External Work'!$F$2:$F$9,'External Work'!$A$2:$A$9,A5,'External Work'!$C$2:$C$9,"Uncertain")</x:f>
        <x:v>12.5</x:v>
      </x:c>
      <x:c r="G5" s="20" t="n">
        <x:f>SUMIFS('External Work'!$F$2:$F$9,'External Work'!$A$2:$A$9,A5,'External Work'!$C$2:$C$9,"Pending")</x:f>
        <x:v>0</x:v>
      </x:c>
      <x:c r="H5" s="20" t="n">
        <x:f>(B5+D5)/60</x:f>
        <x:v>5.85</x:v>
      </x:c>
      <x:c r="I5" s="18" t="str">
        <x:v>5 production bugs; CI repair; 24 commits</x:v>
      </x:c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9" t="n">
        <x:v>46239</x:v>
      </x:c>
      <x:c r="B6" s="20" t="n">
        <x:f>SUMIF('Task Estimates'!$A$2:$A$133,A6,'Task Estimates'!$E$2:$E$133)</x:f>
        <x:v>300</x:v>
      </x:c>
      <x:c r="C6" s="20" t="n">
        <x:f>B6/60</x:f>
        <x:v>5</x:v>
      </x:c>
      <x:c r="D6" s="20" t="n">
        <x:f>SUMIFS('External Work'!$F$2:$F$9,'External Work'!$A$2:$A$9,A6,'External Work'!$C$2:$C$9,"Confirmed External")</x:f>
        <x:v>0</x:v>
      </x:c>
      <x:c r="E6" s="20" t="n">
        <x:f>D6/60</x:f>
        <x:v>0</x:v>
      </x:c>
      <x:c r="F6" s="20" t="n">
        <x:f>SUMIFS('External Work'!$F$2:$F$9,'External Work'!$A$2:$A$9,A6,'External Work'!$C$2:$C$9,"Uncertain")</x:f>
        <x:v>0</x:v>
      </x:c>
      <x:c r="G6" s="20" t="n">
        <x:f>SUMIFS('External Work'!$F$2:$F$9,'External Work'!$A$2:$A$9,A6,'External Work'!$C$2:$C$9,"Pending")</x:f>
        <x:v>0</x:v>
      </x:c>
      <x:c r="H6" s="20" t="n">
        <x:f>(B6+D6)/60</x:f>
        <x:v>5</x:v>
      </x:c>
      <x:c r="I6" s="18" t="str">
        <x:v>~40 tasks; exhaustive require-db test suite; 71 commits</x:v>
      </x:c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9" t="n">
        <x:v>46240</x:v>
      </x:c>
      <x:c r="B7" s="20" t="n">
        <x:f>SUMIF('Task Estimates'!$A$2:$A$133,A7,'Task Estimates'!$E$2:$E$133)</x:f>
        <x:v>558</x:v>
      </x:c>
      <x:c r="C7" s="20" t="n">
        <x:f>B7/60</x:f>
        <x:v>9.3</x:v>
      </x:c>
      <x:c r="D7" s="20" t="n">
        <x:f>SUMIFS('External Work'!$F$2:$F$9,'External Work'!$A$2:$A$9,A7,'External Work'!$C$2:$C$9,"Confirmed External")</x:f>
        <x:v>0</x:v>
      </x:c>
      <x:c r="E7" s="20" t="n">
        <x:f>D7/60</x:f>
        <x:v>0</x:v>
      </x:c>
      <x:c r="F7" s="20" t="n">
        <x:f>SUMIFS('External Work'!$F$2:$F$9,'External Work'!$A$2:$A$9,A7,'External Work'!$C$2:$C$9,"Uncertain")</x:f>
        <x:v>12.5</x:v>
      </x:c>
      <x:c r="G7" s="20" t="n">
        <x:f>SUMIFS('External Work'!$F$2:$F$9,'External Work'!$A$2:$A$9,A7,'External Work'!$C$2:$C$9,"Pending")</x:f>
        <x:v>0</x:v>
      </x:c>
      <x:c r="H7" s="20" t="n">
        <x:f>(B7+D7)/60</x:f>
        <x:v>9.3</x:v>
      </x:c>
      <x:c r="I7" s="18" t="str">
        <x:v>~31 tasks; Stripe/refund/storage/reporting; 39 commits</x:v>
      </x:c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9" t="n">
        <x:v>46241</x:v>
      </x:c>
      <x:c r="B8" s="20" t="n">
        <x:f>SUMIF('Task Estimates'!$A$2:$A$133,A8,'Task Estimates'!$E$2:$E$133)</x:f>
        <x:v>420</x:v>
      </x:c>
      <x:c r="C8" s="20" t="n">
        <x:f>B8/60</x:f>
        <x:v>7</x:v>
      </x:c>
      <x:c r="D8" s="20" t="n">
        <x:f>SUMIFS('External Work'!$F$2:$F$9,'External Work'!$A$2:$A$9,A8,'External Work'!$C$2:$C$9,"Confirmed External")</x:f>
        <x:v>67.5</x:v>
      </x:c>
      <x:c r="E8" s="20" t="n">
        <x:f>D8/60</x:f>
        <x:v>1.125</x:v>
      </x:c>
      <x:c r="F8" s="20" t="n">
        <x:f>SUMIFS('External Work'!$F$2:$F$9,'External Work'!$A$2:$A$9,A8,'External Work'!$C$2:$C$9,"Uncertain")</x:f>
        <x:v>0</x:v>
      </x:c>
      <x:c r="G8" s="20" t="n">
        <x:f>SUMIFS('External Work'!$F$2:$F$9,'External Work'!$A$2:$A$9,A8,'External Work'!$C$2:$C$9,"Pending")</x:f>
        <x:v>0</x:v>
      </x:c>
      <x:c r="H8" s="20" t="n">
        <x:f>(B8+D8)/60</x:f>
        <x:v>8.125</x:v>
      </x:c>
      <x:c r="I8" s="18" t="str">
        <x:v>~20 tasks; i-Framer Premium; Slack smoke CI; 46 commits</x:v>
      </x:c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9" t="n">
        <x:v>46242</x:v>
      </x:c>
      <x:c r="B9" s="20" t="n">
        <x:f>SUMIF('Task Estimates'!$A$2:$A$133,A9,'Task Estimates'!$E$2:$E$133)</x:f>
        <x:v>510</x:v>
      </x:c>
      <x:c r="C9" s="20" t="n">
        <x:f>B9/60</x:f>
        <x:v>8.5</x:v>
      </x:c>
      <x:c r="D9" s="20" t="n">
        <x:f>SUMIFS('External Work'!$F$2:$F$9,'External Work'!$A$2:$A$9,A9,'External Work'!$C$2:$C$9,"Confirmed External")</x:f>
        <x:v>0</x:v>
      </x:c>
      <x:c r="E9" s="20" t="n">
        <x:f>D9/60</x:f>
        <x:v>0</x:v>
      </x:c>
      <x:c r="F9" s="20" t="n">
        <x:f>SUMIFS('External Work'!$F$2:$F$9,'External Work'!$A$2:$A$9,A9,'External Work'!$C$2:$C$9,"Uncertain")</x:f>
        <x:v>0</x:v>
      </x:c>
      <x:c r="G9" s="20" t="n">
        <x:f>SUMIFS('External Work'!$F$2:$F$9,'External Work'!$A$2:$A$9,A9,'External Work'!$C$2:$C$9,"Pending")</x:f>
        <x:v>0</x:v>
      </x:c>
      <x:c r="H9" s="20" t="n">
        <x:f>(B9+D9)/60</x:f>
        <x:v>8.5</x:v>
      </x:c>
      <x:c r="I9" s="18" t="str">
        <x:v>50+ integration-test tasks; platform UI; 123 commits</x:v>
      </x:c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9" t="n">
        <x:v>46243</x:v>
      </x:c>
      <x:c r="B10" s="20" t="n">
        <x:f>SUMIF('Task Estimates'!$A$2:$A$133,A10,'Task Estimates'!$E$2:$E$133)</x:f>
        <x:v>0</x:v>
      </x:c>
      <x:c r="C10" s="20" t="n">
        <x:f>B10/60</x:f>
        <x:v>0</x:v>
      </x:c>
      <x:c r="D10" s="20" t="n">
        <x:f>SUMIFS('External Work'!$F$2:$F$9,'External Work'!$A$2:$A$9,A10,'External Work'!$C$2:$C$9,"Confirmed External")</x:f>
        <x:v>0</x:v>
      </x:c>
      <x:c r="E10" s="20" t="n">
        <x:f>D10/60</x:f>
        <x:v>0</x:v>
      </x:c>
      <x:c r="F10" s="20" t="n">
        <x:f>SUMIFS('External Work'!$F$2:$F$9,'External Work'!$A$2:$A$9,A10,'External Work'!$C$2:$C$9,"Uncertain")</x:f>
        <x:v>0</x:v>
      </x:c>
      <x:c r="G10" s="20" t="n">
        <x:f>SUMIFS('External Work'!$F$2:$F$9,'External Work'!$A$2:$A$9,A10,'External Work'!$C$2:$C$9,"Pending")</x:f>
        <x:v>0</x:v>
      </x:c>
      <x:c r="H10" s="20" t="n">
        <x:f>(B10+D10)/60</x:f>
        <x:v>0</x:v>
      </x:c>
      <x:c r="I10" s="18" t="str">
        <x:v>No recorded activity</x:v>
      </x:c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9" t="n">
        <x:v>46244</x:v>
      </x:c>
      <x:c r="B11" s="20" t="n">
        <x:f>SUMIF('Task Estimates'!$A$2:$A$133,A11,'Task Estimates'!$E$2:$E$133)</x:f>
        <x:v>459</x:v>
      </x:c>
      <x:c r="C11" s="20" t="n">
        <x:f>B11/60</x:f>
        <x:v>7.65</x:v>
      </x:c>
      <x:c r="D11" s="20" t="n">
        <x:f>SUMIFS('External Work'!$F$2:$F$9,'External Work'!$A$2:$A$9,A11,'External Work'!$C$2:$C$9,"Confirmed External")</x:f>
        <x:v>25</x:v>
      </x:c>
      <x:c r="E11" s="20" t="n">
        <x:f>D11/60</x:f>
        <x:v>0.4166666666666667</x:v>
      </x:c>
      <x:c r="F11" s="20" t="n">
        <x:f>SUMIFS('External Work'!$F$2:$F$9,'External Work'!$A$2:$A$9,A11,'External Work'!$C$2:$C$9,"Uncertain")</x:f>
        <x:v>0</x:v>
      </x:c>
      <x:c r="G11" s="20" t="n">
        <x:f>SUMIFS('External Work'!$F$2:$F$9,'External Work'!$A$2:$A$9,A11,'External Work'!$C$2:$C$9,"Pending")</x:f>
        <x:v>17.5</x:v>
      </x:c>
      <x:c r="H11" s="20" t="n">
        <x:f>(B11+D11)/60</x:f>
        <x:v>8.066666666666666</x:v>
      </x:c>
      <x:c r="I11" s="18" t="str">
        <x:v>42 tasks; webhook health; blob auth fix; 48+ commits</x:v>
      </x:c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28" t="str">
        <x:v>MONTH-TO-DATE TOTAL</x:v>
      </x:c>
      <x:c r="B12" s="29" t="n">
        <x:f>SUM(B2:B11)</x:f>
        <x:v>3301</x:v>
      </x:c>
      <x:c r="C12" s="29" t="n">
        <x:f>SUM(C2:C11)</x:f>
        <x:v>55.016666666666666</x:v>
      </x:c>
      <x:c r="D12" s="29" t="n">
        <x:f>SUM(D2:D11)</x:f>
        <x:v>92.5</x:v>
      </x:c>
      <x:c r="E12" s="29" t="n">
        <x:f>SUM(E2:E11)</x:f>
        <x:v>1.5416666666666667</x:v>
      </x:c>
      <x:c r="F12" s="29" t="n">
        <x:f>SUM(F2:F11)</x:f>
        <x:v>25</x:v>
      </x:c>
      <x:c r="G12" s="29" t="n">
        <x:f>SUM(G2:G11)</x:f>
        <x:v>17.5</x:v>
      </x:c>
      <x:c r="H12" s="29" t="n">
        <x:f>SUM(H2:H11)</x:f>
        <x:v>56.55833333333334</x:v>
      </x:c>
      <x:c r="I12" s="28" t="str">
        <x:v>Estimated engineering effort; not recorded actual hours</x:v>
      </x:c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</x:sheetData>
  <x:conditionalFormatting sqref="H2:H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{5238180F-048A-5ED3-E6DC-CB407613B78B}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66b91c473ac4ece"/>
  <x:tableParts count="1">
    <x:tablePart xmlns:r="http://schemas.openxmlformats.org/officeDocument/2006/relationships" r:id="R8b0990d796bb410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38180F-048A-5ED3-E6DC-CB407613B78B}">
            <x14:dataBar gradient="1">
              <x14:cfvo type="min"/>
              <x14:cfvo type="max"/>
              <x14:fillColor rgb="FFA02B93"/>
            </x14:dataBar>
          </x14:cfRule>
          <xm:sqref>H2:H11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52" hidden="0" customWidth="1"/>
    <x:col min="5" max="5" width="16" hidden="0" customWidth="1"/>
    <x:col min="6" max="6" width="16" hidden="0" customWidth="1"/>
    <x:col min="7" max="7" width="12" hidden="0" customWidth="1"/>
    <x:col min="8" max="8" width="42" hidden="0" customWidth="1"/>
  </x:cols>
  <x:sheetData>
    <x:row r="1">
      <x:c r="A1" s="6" t="str">
        <x:v>Date</x:v>
      </x:c>
      <x:c r="B1" s="6" t="str">
        <x:v>Task / Work Item</x:v>
      </x:c>
      <x:c r="C1" s="6" t="str">
        <x:v>Category</x:v>
      </x:c>
      <x:c r="D1" s="6" t="str">
        <x:v>Source Description</x:v>
      </x:c>
      <x:c r="E1" s="6" t="str">
        <x:v>Estimated Minutes</x:v>
      </x:c>
      <x:c r="F1" s="6" t="str">
        <x:v>Estimated Hours</x:v>
      </x:c>
      <x:c r="G1" s="6" t="str">
        <x:v>Complexity</x:v>
      </x:c>
      <x:c r="H1" s="6" t="str">
        <x:v>Estimate Basis</x:v>
      </x:c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9" t="n">
        <x:v>46235</x:v>
      </x:c>
      <x:c r="B2" s="18" t="str">
        <x:v>Privacy &amp; Terms pages</x:v>
      </x:c>
      <x:c r="C2" s="18" t="str">
        <x:v>Feature / Compliance</x:v>
      </x:c>
      <x:c r="D2" s="18" t="str">
        <x:v>Added Privacy and Terms pages with middleware and layout integration</x:v>
      </x:c>
      <x:c r="E2" s="24" t="n">
        <x:v>55</x:v>
      </x:c>
      <x:c r="F2" s="20" t="n">
        <x:v>0.9166666666666666</x:v>
      </x:c>
      <x:c r="G2" s="18" t="str">
        <x:v>Medium</x:v>
      </x:c>
      <x:c r="H2" s="18" t="str">
        <x:v>Review, implementation guidance, validation</x:v>
      </x:c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 t="n">
        <x:v>46235</x:v>
      </x:c>
      <x:c r="B3" s="18" t="str">
        <x:v>Stripe documentation/assets</x:v>
      </x:c>
      <x:c r="C3" s="18" t="str">
        <x:v>Documentation</x:v>
      </x:c>
      <x:c r="D3" s="18" t="str">
        <x:v>Added Stripe dashboard screenshot and documentation assets</x:v>
      </x:c>
      <x:c r="E3" s="24" t="n">
        <x:v>20</x:v>
      </x:c>
      <x:c r="F3" s="20" t="n">
        <x:v>0.3333333333333333</x:v>
      </x:c>
      <x:c r="G3" s="18" t="str">
        <x:v>Low</x:v>
      </x:c>
      <x:c r="H3" s="18" t="str">
        <x:v>Documentation and asset management</x:v>
      </x:c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9" t="n">
        <x:v>46235</x:v>
      </x:c>
      <x:c r="B4" s="18" t="str">
        <x:v>GitHub token configuration</x:v>
      </x:c>
      <x:c r="C4" s="18" t="str">
        <x:v>Configuration</x:v>
      </x:c>
      <x:c r="D4" s="18" t="str">
        <x:v>Updated GitHub push token configuration</x:v>
      </x:c>
      <x:c r="E4" s="24" t="n">
        <x:v>15</x:v>
      </x:c>
      <x:c r="F4" s="20" t="n">
        <x:v>0.25</x:v>
      </x:c>
      <x:c r="G4" s="18" t="str">
        <x:v>Low</x:v>
      </x:c>
      <x:c r="H4" s="18" t="str">
        <x:v>Configuration/review activity</x:v>
      </x:c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9" t="n">
        <x:v>46235</x:v>
      </x:c>
      <x:c r="B5" s="18" t="str">
        <x:v>30-day free trial</x:v>
      </x:c>
      <x:c r="C5" s="18" t="str">
        <x:v>Feature</x:v>
      </x:c>
      <x:c r="D5" s="18" t="str">
        <x:v>Delivered 30-day free trial for all new subscriptions</x:v>
      </x:c>
      <x:c r="E5" s="24" t="n">
        <x:v>60</x:v>
      </x:c>
      <x:c r="F5" s="20" t="n">
        <x:v>1</x:v>
      </x:c>
      <x:c r="G5" s="18" t="str">
        <x:v>High</x:v>
      </x:c>
      <x:c r="H5" s="18" t="str">
        <x:v>Subscription logic + validation</x:v>
      </x:c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9" t="n">
        <x:v>46235</x:v>
      </x:c>
      <x:c r="B6" s="18" t="str">
        <x:v>Webhook subscription status fix</x:v>
      </x:c>
      <x:c r="C6" s="18" t="str">
        <x:v>Bug Fix</x:v>
      </x:c>
      <x:c r="D6" s="18" t="str">
        <x:v>Store real Stripe status (trialing vs active)</x:v>
      </x:c>
      <x:c r="E6" s="24" t="n">
        <x:v>30</x:v>
      </x:c>
      <x:c r="F6" s="20" t="n">
        <x:v>0.5</x:v>
      </x:c>
      <x:c r="G6" s="18" t="str">
        <x:v>Medium</x:v>
      </x:c>
      <x:c r="H6" s="18" t="str">
        <x:v>Webhook behavior review and fix</x:v>
      </x:c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9" t="n">
        <x:v>46237</x:v>
      </x:c>
      <x:c r="B7" s="18" t="str">
        <x:v>Subdomain www routing fix</x:v>
      </x:c>
      <x:c r="C7" s="18" t="str">
        <x:v>Bug Fix</x:v>
      </x:c>
      <x:c r="D7" s="18" t="str">
        <x:v>Fix NEXT_PUBLIC_SITE_URL www-prefix subdomain routing</x:v>
      </x:c>
      <x:c r="E7" s="24" t="n">
        <x:v>30</x:v>
      </x:c>
      <x:c r="F7" s="20" t="n">
        <x:v>0.5</x:v>
      </x:c>
      <x:c r="G7" s="18" t="str">
        <x:v>Medium</x:v>
      </x:c>
      <x:c r="H7" s="18" t="str">
        <x:v>Production routing analysis + review/testing</x:v>
      </x:c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9" t="n">
        <x:v>46237</x:v>
      </x:c>
      <x:c r="B8" s="18" t="str">
        <x:v>representedArtistId tenant validation</x:v>
      </x:c>
      <x:c r="C8" s="18" t="str">
        <x:v>Security</x:v>
      </x:c>
      <x:c r="D8" s="18" t="str">
        <x:v>Prevent cross-tenant artwork assignment</x:v>
      </x:c>
      <x:c r="E8" s="24" t="n">
        <x:v>35</x:v>
      </x:c>
      <x:c r="F8" s="20" t="n">
        <x:v>0.5833333333333334</x:v>
      </x:c>
      <x:c r="G8" s="18" t="str">
        <x:v>High</x:v>
      </x:c>
      <x:c r="H8" s="18" t="str">
        <x:v>Security-sensitive tenant isolation</x:v>
      </x:c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9" t="n">
        <x:v>46237</x:v>
      </x:c>
      <x:c r="B9" s="18" t="str">
        <x:v>Order email HTML escaping</x:v>
      </x:c>
      <x:c r="C9" s="18" t="str">
        <x:v>Security</x:v>
      </x:c>
      <x:c r="D9" s="18" t="str">
        <x:v>Prevent HTML injection from buyer-controlled data</x:v>
      </x:c>
      <x:c r="E9" s="24" t="n">
        <x:v>30</x:v>
      </x:c>
      <x:c r="F9" s="20" t="n">
        <x:v>0.5</x:v>
      </x:c>
      <x:c r="G9" s="18" t="str">
        <x:v>High</x:v>
      </x:c>
      <x:c r="H9" s="18" t="str">
        <x:v>Security fix + regression review</x:v>
      </x:c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9" t="n">
        <x:v>46237</x:v>
      </x:c>
      <x:c r="B10" s="18" t="str">
        <x:v>nodemailer Edge bundle fix</x:v>
      </x:c>
      <x:c r="C10" s="18" t="str">
        <x:v>Build / Deployment</x:v>
      </x:c>
      <x:c r="D10" s="18" t="str">
        <x:v>Exclude nodemailer from Vercel Edge bundle</x:v>
      </x:c>
      <x:c r="E10" s="24" t="n">
        <x:v>25</x:v>
      </x:c>
      <x:c r="F10" s="20" t="n">
        <x:v>0.4166666666666667</x:v>
      </x:c>
      <x:c r="G10" s="18" t="str">
        <x:v>Medium</x:v>
      </x:c>
      <x:c r="H10" s="18" t="str">
        <x:v>Production build troubleshooting</x:v>
      </x:c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9" t="n">
        <x:v>46237</x:v>
      </x:c>
      <x:c r="B11" s="18" t="str">
        <x:v>Storage startup alert + health probe</x:v>
      </x:c>
      <x:c r="C11" s="18" t="str">
        <x:v>Observability</x:v>
      </x:c>
      <x:c r="D11" s="18" t="str">
        <x:v>instrumentation.ts alert + /api/storage/health</x:v>
      </x:c>
      <x:c r="E11" s="24" t="n">
        <x:v>30</x:v>
      </x:c>
      <x:c r="F11" s="20" t="n">
        <x:v>0.5</x:v>
      </x:c>
      <x:c r="G11" s="18" t="str">
        <x:v>Medium</x:v>
      </x:c>
      <x:c r="H11" s="18" t="str">
        <x:v>Monitoring endpoint and startup behavior</x:v>
      </x:c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9" t="n">
        <x:v>46237</x:v>
      </x:c>
      <x:c r="B12" s="18" t="str">
        <x:v>PLATFORM_FEE_PERCENT guard</x:v>
      </x:c>
      <x:c r="C12" s="18" t="str">
        <x:v>Validation / Tests</x:v>
      </x:c>
      <x:c r="D12" s="18" t="str">
        <x:v>Startup validation + 9 tests</x:v>
      </x:c>
      <x:c r="E12" s="24" t="n">
        <x:v>25</x:v>
      </x:c>
      <x:c r="F12" s="20" t="n">
        <x:v>0.4166666666666667</x:v>
      </x:c>
      <x:c r="G12" s="18" t="str">
        <x:v>Medium</x:v>
      </x:c>
      <x:c r="H12" s="18" t="str">
        <x:v>Validation logic and tests</x:v>
      </x:c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9" t="n">
        <x:v>46237</x:v>
      </x:c>
      <x:c r="B13" s="18" t="str">
        <x:v>Gallery failure retry alert</x:v>
      </x:c>
      <x:c r="C13" s="18" t="str">
        <x:v>Reliability</x:v>
      </x:c>
      <x:c r="D13" s="18" t="str">
        <x:v>Task #49 retry alert on every sweep pass until delivered</x:v>
      </x:c>
      <x:c r="E13" s="24" t="n">
        <x:v>15</x:v>
      </x:c>
      <x:c r="F13" s="20" t="n">
        <x:v>0.25</x:v>
      </x:c>
      <x:c r="G13" s="18" t="str">
        <x:v>Medium</x:v>
      </x:c>
      <x:c r="H13" s="18" t="str">
        <x:v>Alert retry behavior</x:v>
      </x:c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9" t="n">
        <x:v>46237</x:v>
      </x:c>
      <x:c r="B14" s="18" t="str">
        <x:v>Update retrying badge</x:v>
      </x:c>
      <x:c r="C14" s="18" t="str">
        <x:v>UX / Reliability</x:v>
      </x:c>
      <x:c r="D14" s="18" t="str">
        <x:v>Task #46 intermediate status-email failure badge</x:v>
      </x:c>
      <x:c r="E14" s="24" t="n">
        <x:v>12</x:v>
      </x:c>
      <x:c r="F14" s="20" t="n">
        <x:v>0.2</x:v>
      </x:c>
      <x:c r="G14" s="18" t="str">
        <x:v>Low</x:v>
      </x:c>
      <x:c r="H14" s="18" t="str">
        <x:v>UI state + verification</x:v>
      </x:c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9" t="n">
        <x:v>46237</x:v>
      </x:c>
      <x:c r="B15" s="18" t="str">
        <x:v>Legacy inquiry sender label</x:v>
      </x:c>
      <x:c r="C15" s="18" t="str">
        <x:v>UX / Data</x:v>
      </x:c>
      <x:c r="D15" s="18" t="str">
        <x:v>Task #66 label older inquiry replies</x:v>
      </x:c>
      <x:c r="E15" s="24" t="n">
        <x:v>10</x:v>
      </x:c>
      <x:c r="F15" s="20" t="n">
        <x:v>0.16666666666666666</x:v>
      </x:c>
      <x:c r="G15" s="18" t="str">
        <x:v>Low</x:v>
      </x:c>
      <x:c r="H15" s="18" t="str">
        <x:v>Small data/UI behavior</x:v>
      </x:c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9" t="n">
        <x:v>46237</x:v>
      </x:c>
      <x:c r="B16" s="18" t="str">
        <x:v>Partial-refund warning</x:v>
      </x:c>
      <x:c r="C16" s="18" t="str">
        <x:v>Reliability / UX</x:v>
      </x:c>
      <x:c r="D16" s="18" t="str">
        <x:v>Task #148 persistent warning on notification failure</x:v>
      </x:c>
      <x:c r="E16" s="24" t="n">
        <x:v>15</x:v>
      </x:c>
      <x:c r="F16" s="20" t="n">
        <x:v>0.25</x:v>
      </x:c>
      <x:c r="G16" s="18" t="str">
        <x:v>Medium</x:v>
      </x:c>
      <x:c r="H16" s="18" t="str">
        <x:v>Failure-state handling</x:v>
      </x:c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9" t="n">
        <x:v>46237</x:v>
      </x:c>
      <x:c r="B17" s="18" t="str">
        <x:v>Checkout commission tests</x:v>
      </x:c>
      <x:c r="C17" s="18" t="str">
        <x:v>Tests</x:v>
      </x:c>
      <x:c r="D17" s="18" t="str">
        <x:v>Task #305 commission amount unit tests</x:v>
      </x:c>
      <x:c r="E17" s="24" t="n">
        <x:v>15</x:v>
      </x:c>
      <x:c r="F17" s="20" t="n">
        <x:v>0.25</x:v>
      </x:c>
      <x:c r="G17" s="18" t="str">
        <x:v>Medium</x:v>
      </x:c>
      <x:c r="H17" s="18" t="str">
        <x:v>Financial calculation tests</x:v>
      </x:c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9" t="n">
        <x:v>46237</x:v>
      </x:c>
      <x:c r="B18" s="18" t="str">
        <x:v>Browse filter tests</x:v>
      </x:c>
      <x:c r="C18" s="18" t="str">
        <x:v>Tests</x:v>
      </x:c>
      <x:c r="D18" s="18" t="str">
        <x:v>Tasks #283/#285/#287/#292 SOLD/RESERVED/HIDDEN + seller/keyword</x:v>
      </x:c>
      <x:c r="E18" s="24" t="n">
        <x:v>25</x:v>
      </x:c>
      <x:c r="F18" s="20" t="n">
        <x:v>0.4166666666666667</x:v>
      </x:c>
      <x:c r="G18" s="18" t="str">
        <x:v>Medium</x:v>
      </x:c>
      <x:c r="H18" s="18" t="str">
        <x:v>Multiple filter combinations</x:v>
      </x:c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9" t="n">
        <x:v>46237</x:v>
      </x:c>
      <x:c r="B19" s="18" t="str">
        <x:v>Custom-domain null CNAME redirect</x:v>
      </x:c>
      <x:c r="C19" s="18" t="str">
        <x:v>Bug Fix / Tests</x:v>
      </x:c>
      <x:c r="D19" s="18" t="str">
        <x:v>Task #234 no_cname_target handling</x:v>
      </x:c>
      <x:c r="E19" s="24" t="n">
        <x:v>12</x:v>
      </x:c>
      <x:c r="F19" s="20" t="n">
        <x:v>0.2</x:v>
      </x:c>
      <x:c r="G19" s="18" t="str">
        <x:v>Low</x:v>
      </x:c>
      <x:c r="H19" s="18" t="str">
        <x:v>Focused domain edge case</x:v>
      </x:c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9" t="n">
        <x:v>46237</x:v>
      </x:c>
      <x:c r="B20" s="18" t="str">
        <x:v>Rate-limit isolation tests</x:v>
      </x:c>
      <x:c r="C20" s="18" t="str">
        <x:v>Tests / Security</x:v>
      </x:c>
      <x:c r="D20" s="18" t="str">
        <x:v>Tasks #38/#296 prefix-scoped isolation/cleanup</x:v>
      </x:c>
      <x:c r="E20" s="24" t="n">
        <x:v>20</x:v>
      </x:c>
      <x:c r="F20" s="20" t="n">
        <x:v>0.3333333333333333</x:v>
      </x:c>
      <x:c r="G20" s="18" t="str">
        <x:v>Medium</x:v>
      </x:c>
      <x:c r="H20" s="18" t="str">
        <x:v>Tenant/rate-limit isolation</x:v>
      </x:c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9" t="n">
        <x:v>46237</x:v>
      </x:c>
      <x:c r="B21" s="18" t="str">
        <x:v>Billing access integration tests</x:v>
      </x:c>
      <x:c r="C21" s="18" t="str">
        <x:v>Integration Tests</x:v>
      </x:c>
      <x:c r="D21" s="18" t="str">
        <x:v>Tasks #80/#88 real DB access cases</x:v>
      </x:c>
      <x:c r="E21" s="24" t="n">
        <x:v>20</x:v>
      </x:c>
      <x:c r="F21" s="20" t="n">
        <x:v>0.3333333333333333</x:v>
      </x:c>
      <x:c r="G21" s="18" t="str">
        <x:v>Medium</x:v>
      </x:c>
      <x:c r="H21" s="18" t="str">
        <x:v>Real DB integration</x:v>
      </x:c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9" t="n">
        <x:v>46237</x:v>
      </x:c>
      <x:c r="B22" s="18" t="str">
        <x:v>Orphan-sweep alert tests</x:v>
      </x:c>
      <x:c r="C22" s="18" t="str">
        <x:v>Reliability Tests</x:v>
      </x:c>
      <x:c r="D22" s="18" t="str">
        <x:v>Task #205 Slack+email error alerts</x:v>
      </x:c>
      <x:c r="E22" s="24" t="n">
        <x:v>15</x:v>
      </x:c>
      <x:c r="F22" s="20" t="n">
        <x:v>0.25</x:v>
      </x:c>
      <x:c r="G22" s="18" t="str">
        <x:v>Medium</x:v>
      </x:c>
      <x:c r="H22" s="18" t="str">
        <x:v>Notification failure coverage</x:v>
      </x:c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9" t="n">
        <x:v>46237</x:v>
      </x:c>
      <x:c r="B23" s="18" t="str">
        <x:v>i-Framer billing badge</x:v>
      </x:c>
      <x:c r="C23" s="18" t="str">
        <x:v>Feature / UX</x:v>
      </x:c>
      <x:c r="D23" s="18" t="str">
        <x:v>Task #217 premium billing badge/description</x:v>
      </x:c>
      <x:c r="E23" s="24" t="n">
        <x:v>12</x:v>
      </x:c>
      <x:c r="F23" s="20" t="n">
        <x:v>0.2</x:v>
      </x:c>
      <x:c r="G23" s="18" t="str">
        <x:v>Low</x:v>
      </x:c>
      <x:c r="H23" s="18" t="str">
        <x:v>Billing UI</x:v>
      </x:c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9" t="n">
        <x:v>46237</x:v>
      </x:c>
      <x:c r="B24" s="18" t="str">
        <x:v>Schema-push alert tests</x:v>
      </x:c>
      <x:c r="C24" s="18" t="str">
        <x:v>Reliability Tests</x:v>
      </x:c>
      <x:c r="D24" s="18" t="str">
        <x:v>Tasks #277/#280 Slack+email after reconnect</x:v>
      </x:c>
      <x:c r="E24" s="24" t="n">
        <x:v>18</x:v>
      </x:c>
      <x:c r="F24" s="20" t="n">
        <x:v>0.3</x:v>
      </x:c>
      <x:c r="G24" s="18" t="str">
        <x:v>Medium</x:v>
      </x:c>
      <x:c r="H24" s="18" t="str">
        <x:v>Connector recovery behavior</x:v>
      </x:c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9" t="n">
        <x:v>46237</x:v>
      </x:c>
      <x:c r="B25" s="18" t="str">
        <x:v>Inquiry sent_not_saved handling</x:v>
      </x:c>
      <x:c r="C25" s="18" t="str">
        <x:v>Bug Fix</x:v>
      </x:c>
      <x:c r="D25" s="18" t="str">
        <x:v>Task #51 catch DB save failure after email</x:v>
      </x:c>
      <x:c r="E25" s="24" t="n">
        <x:v>20</x:v>
      </x:c>
      <x:c r="F25" s="20" t="n">
        <x:v>0.3333333333333333</x:v>
      </x:c>
      <x:c r="G25" s="18" t="str">
        <x:v>Medium</x:v>
      </x:c>
      <x:c r="H25" s="18" t="str">
        <x:v>Partial-success state handling</x:v>
      </x:c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9" t="n">
        <x:v>46237</x:v>
      </x:c>
      <x:c r="B26" s="18" t="str">
        <x:v>Tracking-note retry queue</x:v>
      </x:c>
      <x:c r="C26" s="18" t="str">
        <x:v>Reliability</x:v>
      </x:c>
      <x:c r="D26" s="18" t="str">
        <x:v>Task #50 queue fresh status-email retry</x:v>
      </x:c>
      <x:c r="E26" s="24" t="n">
        <x:v>12</x:v>
      </x:c>
      <x:c r="F26" s="20" t="n">
        <x:v>0.2</x:v>
      </x:c>
      <x:c r="G26" s="18" t="str">
        <x:v>Low</x:v>
      </x:c>
      <x:c r="H26" s="18" t="str">
        <x:v>Retry state logic</x:v>
      </x:c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9" t="n">
        <x:v>46237</x:v>
      </x:c>
      <x:c r="B27" s="18" t="str">
        <x:v>Reservation race/stale sweep tests</x:v>
      </x:c>
      <x:c r="C27" s="18" t="str">
        <x:v>Integration Tests</x:v>
      </x:c>
      <x:c r="D27" s="18" t="str">
        <x:v>Tasks #63/#72 real DB</x:v>
      </x:c>
      <x:c r="E27" s="24" t="n">
        <x:v>22</x:v>
      </x:c>
      <x:c r="F27" s="20" t="n">
        <x:v>0.36666666666666664</x:v>
      </x:c>
      <x:c r="G27" s="18" t="str">
        <x:v>High</x:v>
      </x:c>
      <x:c r="H27" s="18" t="str">
        <x:v>Concurrency/stale-state coverage</x:v>
      </x:c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9" t="n">
        <x:v>46237</x:v>
      </x:c>
      <x:c r="B28" s="18" t="str">
        <x:v>Bulk inquiry tenant isolation</x:v>
      </x:c>
      <x:c r="C28" s="18" t="str">
        <x:v>Security Tests</x:v>
      </x:c>
      <x:c r="D28" s="18" t="str">
        <x:v>Tasks #73/#74 real DB</x:v>
      </x:c>
      <x:c r="E28" s="24" t="n">
        <x:v>20</x:v>
      </x:c>
      <x:c r="F28" s="20" t="n">
        <x:v>0.3333333333333333</x:v>
      </x:c>
      <x:c r="G28" s="18" t="str">
        <x:v>High</x:v>
      </x:c>
      <x:c r="H28" s="18" t="str">
        <x:v>Cross-tenant isolation</x:v>
      </x:c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9" t="n">
        <x:v>46237</x:v>
      </x:c>
      <x:c r="B29" s="18" t="str">
        <x:v>Friendly inquiry sender name</x:v>
      </x:c>
      <x:c r="C29" s="18" t="str">
        <x:v>UX</x:v>
      </x:c>
      <x:c r="D29" s="18" t="str">
        <x:v>Task #65 sender display name</x:v>
      </x:c>
      <x:c r="E29" s="24" t="n">
        <x:v>10</x:v>
      </x:c>
      <x:c r="F29" s="20" t="n">
        <x:v>0.16666666666666666</x:v>
      </x:c>
      <x:c r="G29" s="18" t="str">
        <x:v>Low</x:v>
      </x:c>
      <x:c r="H29" s="18" t="str">
        <x:v>Small UX change</x:v>
      </x:c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9" t="n">
        <x:v>46237</x:v>
      </x:c>
      <x:c r="B30" s="18" t="str">
        <x:v>Invite double-accept tests</x:v>
      </x:c>
      <x:c r="C30" s="18" t="str">
        <x:v>Integration Tests</x:v>
      </x:c>
      <x:c r="D30" s="18" t="str">
        <x:v>Task #69 real DB</x:v>
      </x:c>
      <x:c r="E30" s="24" t="n">
        <x:v>15</x:v>
      </x:c>
      <x:c r="F30" s="20" t="n">
        <x:v>0.25</x:v>
      </x:c>
      <x:c r="G30" s="18" t="str">
        <x:v>Medium</x:v>
      </x:c>
      <x:c r="H30" s="18" t="str">
        <x:v>Idempotency/concurrency coverage</x:v>
      </x:c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9" t="n">
        <x:v>46237</x:v>
      </x:c>
      <x:c r="B31" s="18" t="str">
        <x:v>Domain verification contract suite</x:v>
      </x:c>
      <x:c r="C31" s="18" t="str">
        <x:v>Tests</x:v>
      </x:c>
      <x:c r="D31" s="18" t="str">
        <x:v>Task #67 CNAME/conflict/unverified cases</x:v>
      </x:c>
      <x:c r="E31" s="24" t="n">
        <x:v>25</x:v>
      </x:c>
      <x:c r="F31" s="20" t="n">
        <x:v>0.4166666666666667</x:v>
      </x:c>
      <x:c r="G31" s="18" t="str">
        <x:v>Medium</x:v>
      </x:c>
      <x:c r="H31" s="18" t="str">
        <x:v>Multiple domain contract cases</x:v>
      </x:c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9" t="n">
        <x:v>46237</x:v>
      </x:c>
      <x:c r="B32" s="18" t="str">
        <x:v>Additional admin/webhook/rate limiter tests</x:v>
      </x:c>
      <x:c r="C32" s="18" t="str">
        <x:v>Tests</x:v>
      </x:c>
      <x:c r="D32" s="18" t="str">
        <x:v>Additional team/platform admin, webhook signature, rate-limiter tests</x:v>
      </x:c>
      <x:c r="E32" s="24" t="n">
        <x:v>25</x:v>
      </x:c>
      <x:c r="F32" s="20" t="n">
        <x:v>0.4166666666666667</x:v>
      </x:c>
      <x:c r="G32" s="18" t="str">
        <x:v>Medium</x:v>
      </x:c>
      <x:c r="H32" s="18" t="str">
        <x:v>Grouped source item</x:v>
      </x:c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9" t="n">
        <x:v>46237</x:v>
      </x:c>
      <x:c r="B33" s="18" t="str">
        <x:v>DEPLOY.md www/apex warning</x:v>
      </x:c>
      <x:c r="C33" s="18" t="str">
        <x:v>Documentation</x:v>
      </x:c>
      <x:c r="D33" s="18" t="str">
        <x:v>Critical production configuration warning</x:v>
      </x:c>
      <x:c r="E33" s="24" t="n">
        <x:v>10</x:v>
      </x:c>
      <x:c r="F33" s="20" t="n">
        <x:v>0.16666666666666666</x:v>
      </x:c>
      <x:c r="G33" s="18" t="str">
        <x:v>Low</x:v>
      </x:c>
      <x:c r="H33" s="18" t="str">
        <x:v>Deployment documentation</x:v>
      </x:c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9" t="n">
        <x:v>46238</x:v>
      </x:c>
      <x:c r="B34" s="18" t="str">
        <x:v>Stripe buy-button readiness gate</x:v>
      </x:c>
      <x:c r="C34" s="18" t="str">
        <x:v>Feature / Bug Fix</x:v>
      </x:c>
      <x:c r="D34" s="18" t="str">
        <x:v>Hide buy button when stripeChargesEnabled=false</x:v>
      </x:c>
      <x:c r="E34" s="24" t="n">
        <x:v>20</x:v>
      </x:c>
      <x:c r="F34" s="20" t="n">
        <x:v>0.3333333333333333</x:v>
      </x:c>
      <x:c r="G34" s="18" t="str">
        <x:v>Medium</x:v>
      </x:c>
      <x:c r="H34" s="18" t="str">
        <x:v>Checkout gating</x:v>
      </x:c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9" t="n">
        <x:v>46238</x:v>
      </x:c>
      <x:c r="B35" s="18" t="str">
        <x:v>Stripe banner helper/tests</x:v>
      </x:c>
      <x:c r="C35" s="18" t="str">
        <x:v>UX / Tests</x:v>
      </x:c>
      <x:c r="D35" s="18" t="str">
        <x:v>getStripeBannerKind + dashboard tests</x:v>
      </x:c>
      <x:c r="E35" s="24" t="n">
        <x:v>15</x:v>
      </x:c>
      <x:c r="F35" s="20" t="n">
        <x:v>0.25</x:v>
      </x:c>
      <x:c r="G35" s="18" t="str">
        <x:v>Low</x:v>
      </x:c>
      <x:c r="H35" s="18" t="str">
        <x:v>UI helper and tests</x:v>
      </x:c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9" t="n">
        <x:v>46238</x:v>
      </x:c>
      <x:c r="B36" s="18" t="str">
        <x:v>Cached Stripe readiness display</x:v>
      </x:c>
      <x:c r="C36" s="18" t="str">
        <x:v>Feature / UX</x:v>
      </x:c>
      <x:c r="D36" s="18" t="str">
        <x:v>Show charges/payouts cached state alongside live status</x:v>
      </x:c>
      <x:c r="E36" s="24" t="n">
        <x:v>18</x:v>
      </x:c>
      <x:c r="F36" s="20" t="n">
        <x:v>0.3</x:v>
      </x:c>
      <x:c r="G36" s="18" t="str">
        <x:v>Medium</x:v>
      </x:c>
      <x:c r="H36" s="18" t="str">
        <x:v>State reconciliation UI</x:v>
      </x:c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9" t="n">
        <x:v>46238</x:v>
      </x:c>
      <x:c r="B37" s="18" t="str">
        <x:v>Inquiry no-transport guards</x:v>
      </x:c>
      <x:c r="C37" s="18" t="str">
        <x:v>Tests</x:v>
      </x:c>
      <x:c r="D37" s="18" t="str">
        <x:v>sendArtworkInquiry/sendInquiryReply guard tests</x:v>
      </x:c>
      <x:c r="E37" s="24" t="n">
        <x:v>15</x:v>
      </x:c>
      <x:c r="F37" s="20" t="n">
        <x:v>0.25</x:v>
      </x:c>
      <x:c r="G37" s="18" t="str">
        <x:v>Medium</x:v>
      </x:c>
      <x:c r="H37" s="18" t="str">
        <x:v>Failure-path testing</x:v>
      </x:c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9" t="n">
        <x:v>46238</x:v>
      </x:c>
      <x:c r="B38" s="18" t="str">
        <x:v>Operator alert misconfiguration guards</x:v>
      </x:c>
      <x:c r="C38" s="18" t="str">
        <x:v>Tests</x:v>
      </x:c>
      <x:c r="D38" s="18" t="str">
        <x:v>All operator alert email guard tests</x:v>
      </x:c>
      <x:c r="E38" s="24" t="n">
        <x:v>15</x:v>
      </x:c>
      <x:c r="F38" s="20" t="n">
        <x:v>0.25</x:v>
      </x:c>
      <x:c r="G38" s="18" t="str">
        <x:v>Medium</x:v>
      </x:c>
      <x:c r="H38" s="18" t="str">
        <x:v>Configuration edge cases</x:v>
      </x:c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9" t="n">
        <x:v>46238</x:v>
      </x:c>
      <x:c r="B39" s="18" t="str">
        <x:v>Trial-expiry lockout tests</x:v>
      </x:c>
      <x:c r="C39" s="18" t="str">
        <x:v>Integration Tests</x:v>
      </x:c>
      <x:c r="D39" s="18" t="str">
        <x:v>incomplete_expired/canceled webhook paths</x:v>
      </x:c>
      <x:c r="E39" s="24" t="n">
        <x:v>20</x:v>
      </x:c>
      <x:c r="F39" s="20" t="n">
        <x:v>0.3333333333333333</x:v>
      </x:c>
      <x:c r="G39" s="18" t="str">
        <x:v>Medium</x:v>
      </x:c>
      <x:c r="H39" s="18" t="str">
        <x:v>Billing lifecycle</x:v>
      </x:c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9" t="n">
        <x:v>46238</x:v>
      </x:c>
      <x:c r="B40" s="18" t="str">
        <x:v>5 production bugs bundle</x:v>
      </x:c>
      <x:c r="C40" s="18" t="str">
        <x:v>Production Bug Fixes</x:v>
      </x:c>
      <x:c r="D40" s="18" t="str">
        <x:v>Logout race; transactionality; login redirect; cancellation email; trial date</x:v>
      </x:c>
      <x:c r="E40" s="24" t="n">
        <x:v>75</x:v>
      </x:c>
      <x:c r="F40" s="20" t="n">
        <x:v>1.25</x:v>
      </x:c>
      <x:c r="G40" s="18" t="str">
        <x:v>High</x:v>
      </x:c>
      <x:c r="H40" s="18" t="str">
        <x:v>Five distinct production defects</x:v>
      </x:c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9" t="n">
        <x:v>46238</x:v>
      </x:c>
      <x:c r="B41" s="18" t="str">
        <x:v>4 UX improvements</x:v>
      </x:c>
      <x:c r="C41" s="18" t="str">
        <x:v>UX</x:v>
      </x:c>
      <x:c r="D41" s="18" t="str">
        <x:v>Expired badge, confirm password, billing warning, upload hint</x:v>
      </x:c>
      <x:c r="E41" s="24" t="n">
        <x:v>30</x:v>
      </x:c>
      <x:c r="F41" s="20" t="n">
        <x:v>0.5</x:v>
      </x:c>
      <x:c r="G41" s="18" t="str">
        <x:v>Medium</x:v>
      </x:c>
      <x:c r="H41" s="18" t="str">
        <x:v>Four UI improvements</x:v>
      </x:c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9" t="n">
        <x:v>46238</x:v>
      </x:c>
      <x:c r="B42" s="18" t="str">
        <x:v>SubscriptionStatusBadge component/tests</x:v>
      </x:c>
      <x:c r="C42" s="18" t="str">
        <x:v>Refactor / Tests</x:v>
      </x:c>
      <x:c r="D42" s="18" t="str">
        <x:v>Extract component + trialing/active tests</x:v>
      </x:c>
      <x:c r="E42" s="24" t="n">
        <x:v>20</x:v>
      </x:c>
      <x:c r="F42" s="20" t="n">
        <x:v>0.3333333333333333</x:v>
      </x:c>
      <x:c r="G42" s="18" t="str">
        <x:v>Medium</x:v>
      </x:c>
      <x:c r="H42" s="18" t="str">
        <x:v>Component refactor + coverage</x:v>
      </x:c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9" t="n">
        <x:v>46238</x:v>
      </x:c>
      <x:c r="B43" s="18" t="str">
        <x:v>Stripe stale-cache warning</x:v>
      </x:c>
      <x:c r="C43" s="18" t="str">
        <x:v>Reliability / UX</x:v>
      </x:c>
      <x:c r="D43" s="18" t="str">
        <x:v>Warn when live Stripe state disagrees with DB cache</x:v>
      </x:c>
      <x:c r="E43" s="24" t="n">
        <x:v>18</x:v>
      </x:c>
      <x:c r="F43" s="20" t="n">
        <x:v>0.3</x:v>
      </x:c>
      <x:c r="G43" s="18" t="str">
        <x:v>Medium</x:v>
      </x:c>
      <x:c r="H43" s="18" t="str">
        <x:v>State consistency</x:v>
      </x:c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9" t="n">
        <x:v>46238</x:v>
      </x:c>
      <x:c r="B44" s="18" t="str">
        <x:v>Resend wrong-key behavior</x:v>
      </x:c>
      <x:c r="C44" s="18" t="str">
        <x:v>Reliability</x:v>
      </x:c>
      <x:c r="D44" s="18" t="str">
        <x:v>Do not silently swallow operator alerts</x:v>
      </x:c>
      <x:c r="E44" s="24" t="n">
        <x:v>15</x:v>
      </x:c>
      <x:c r="F44" s="20" t="n">
        <x:v>0.25</x:v>
      </x:c>
      <x:c r="G44" s="18" t="str">
        <x:v>Medium</x:v>
      </x:c>
      <x:c r="H44" s="18" t="str">
        <x:v>Alert failure visibility</x:v>
      </x:c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9" t="n">
        <x:v>46238</x:v>
      </x:c>
      <x:c r="B45" s="18" t="str">
        <x:v>Transport error surfacing</x:v>
      </x:c>
      <x:c r="C45" s="18" t="str">
        <x:v>Reliability</x:v>
      </x:c>
      <x:c r="D45" s="18" t="str">
        <x:v>Surface transient errors in 4 alert functions</x:v>
      </x:c>
      <x:c r="E45" s="24" t="n">
        <x:v>20</x:v>
      </x:c>
      <x:c r="F45" s="20" t="n">
        <x:v>0.3333333333333333</x:v>
      </x:c>
      <x:c r="G45" s="18" t="str">
        <x:v>Medium</x:v>
      </x:c>
      <x:c r="H45" s="18" t="str">
        <x:v>Cross-function reliability</x:v>
      </x:c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9" t="n">
        <x:v>46238</x:v>
      </x:c>
      <x:c r="B46" s="18" t="str">
        <x:v>Expired-trial billing integration</x:v>
      </x:c>
      <x:c r="C46" s="18" t="str">
        <x:v>Integration Tests</x:v>
      </x:c>
      <x:c r="D46" s="18" t="str">
        <x:v>Task #366 billing access guard</x:v>
      </x:c>
      <x:c r="E46" s="24" t="n">
        <x:v>15</x:v>
      </x:c>
      <x:c r="F46" s="20" t="n">
        <x:v>0.25</x:v>
      </x:c>
      <x:c r="G46" s="18" t="str">
        <x:v>Medium</x:v>
      </x:c>
      <x:c r="H46" s="18" t="str">
        <x:v>Real behavior verification</x:v>
      </x:c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9" t="n">
        <x:v>46238</x:v>
      </x:c>
      <x:c r="B47" s="18" t="str">
        <x:v>Resubscription integration</x:v>
      </x:c>
      <x:c r="C47" s="18" t="str">
        <x:v>Integration Tests</x:v>
      </x:c>
      <x:c r="D47" s="18" t="str">
        <x:v>Task #385 incomplete_expired tenant resubscription</x:v>
      </x:c>
      <x:c r="E47" s="24" t="n">
        <x:v>18</x:v>
      </x:c>
      <x:c r="F47" s="20" t="n">
        <x:v>0.3</x:v>
      </x:c>
      <x:c r="G47" s="18" t="str">
        <x:v>Medium</x:v>
      </x:c>
      <x:c r="H47" s="18" t="str">
        <x:v>Real DB lifecycle</x:v>
      </x:c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9" t="n">
        <x:v>46238</x:v>
      </x:c>
      <x:c r="B48" s="18" t="str">
        <x:v>pnpm CI workflow repair</x:v>
      </x:c>
      <x:c r="C48" s="18" t="str">
        <x:v>CI / DevOps</x:v>
      </x:c>
      <x:c r="D48" s="18" t="str">
        <x:v>Bump pnpm v10 in 2 drift-check workflows</x:v>
      </x:c>
      <x:c r="E48" s="24" t="n">
        <x:v>25</x:v>
      </x:c>
      <x:c r="F48" s="20" t="n">
        <x:v>0.4166666666666667</x:v>
      </x:c>
      <x:c r="G48" s="18" t="str">
        <x:v>Medium</x:v>
      </x:c>
      <x:c r="H48" s="18" t="str">
        <x:v>CI failure diagnosis + fix</x:v>
      </x:c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9" t="n">
        <x:v>46238</x:v>
      </x:c>
      <x:c r="B49" s="18" t="str">
        <x:v>Orphan sweep 207 on email failure</x:v>
      </x:c>
      <x:c r="C49" s="18" t="str">
        <x:v>Reliability</x:v>
      </x:c>
      <x:c r="D49" s="18" t="str">
        <x:v>Task #383</x:v>
      </x:c>
      <x:c r="E49" s="24" t="n">
        <x:v>12</x:v>
      </x:c>
      <x:c r="F49" s="20" t="n">
        <x:v>0.2</x:v>
      </x:c>
      <x:c r="G49" s="18" t="str">
        <x:v>Low</x:v>
      </x:c>
      <x:c r="H49" s="18" t="str">
        <x:v>Focused route behavior</x:v>
      </x:c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9" t="n">
        <x:v>46239</x:v>
      </x:c>
      <x:c r="B50" s="18" t="str">
        <x:v>CI drift-check verification</x:v>
      </x:c>
      <x:c r="C50" s="18" t="str">
        <x:v>CI / Verification</x:v>
      </x:c>
      <x:c r="D50" s="18" t="str">
        <x:v>Tasks #388/#389 confirm both workflows</x:v>
      </x:c>
      <x:c r="E50" s="24" t="n">
        <x:v>25</x:v>
      </x:c>
      <x:c r="F50" s="20" t="n">
        <x:v>0.4166666666666667</x:v>
      </x:c>
      <x:c r="G50" s="18" t="str">
        <x:v>Medium</x:v>
      </x:c>
      <x:c r="H50" s="18" t="str">
        <x:v>Two CI workflows</x:v>
      </x:c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9" t="n">
        <x:v>46239</x:v>
      </x:c>
      <x:c r="B51" s="18" t="str">
        <x:v>Orphan sweep notification failure matrix</x:v>
      </x:c>
      <x:c r="C51" s="18" t="str">
        <x:v>Reliability Tests</x:v>
      </x:c>
      <x:c r="D51" s="18" t="str">
        <x:v>Tasks #390-#393 Slack/email/both/double failures</x:v>
      </x:c>
      <x:c r="E51" s="24" t="n">
        <x:v>55</x:v>
      </x:c>
      <x:c r="F51" s="20" t="n">
        <x:v>0.9166666666666666</x:v>
      </x:c>
      <x:c r="G51" s="18" t="str">
        <x:v>High</x:v>
      </x:c>
      <x:c r="H51" s="18" t="str">
        <x:v>Multiple failure combinations</x:v>
      </x:c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9" t="n">
        <x:v>46239</x:v>
      </x:c>
      <x:c r="B52" s="18" t="str">
        <x:v>HTTP-layer orphan sweep test</x:v>
      </x:c>
      <x:c r="C52" s="18" t="str">
        <x:v>Integration Tests</x:v>
      </x:c>
      <x:c r="D52" s="18" t="str">
        <x:v>Real fetch client gets 207</x:v>
      </x:c>
      <x:c r="E52" s="24" t="n">
        <x:v>20</x:v>
      </x:c>
      <x:c r="F52" s="20" t="n">
        <x:v>0.3333333333333333</x:v>
      </x:c>
      <x:c r="G52" s="18" t="str">
        <x:v>Medium</x:v>
      </x:c>
      <x:c r="H52" s="18" t="str">
        <x:v>HTTP integration verification</x:v>
      </x:c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9" t="n">
        <x:v>46239</x:v>
      </x:c>
      <x:c r="B53" s="18" t="str">
        <x:v>require-db exhaustive numeric boundaries</x:v>
      </x:c>
      <x:c r="C53" s="18" t="str">
        <x:v>Validation / Tests</x:v>
      </x:c>
      <x:c r="D53" s="18" t="str">
        <x:v>33+ scientific/hex/octal/binary/safe-integer/subprocess tests</x:v>
      </x:c>
      <x:c r="E53" s="24" t="n">
        <x:v>150</x:v>
      </x:c>
      <x:c r="F53" s="20" t="n">
        <x:v>2.5</x:v>
      </x:c>
      <x:c r="G53" s="18" t="str">
        <x:v>High</x:v>
      </x:c>
      <x:c r="H53" s="18" t="str">
        <x:v>Large boundary suite</x:v>
      </x:c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9" t="n">
        <x:v>46239</x:v>
      </x:c>
      <x:c r="B54" s="18" t="str">
        <x:v>Additional browse/trial/Stripe edge cases</x:v>
      </x:c>
      <x:c r="C54" s="18" t="str">
        <x:v>Tests</x:v>
      </x:c>
      <x:c r="D54" s="18" t="str">
        <x:v>Filter combos, countdown, stale-cache resync, readiness edges</x:v>
      </x:c>
      <x:c r="E54" s="24" t="n">
        <x:v>50</x:v>
      </x:c>
      <x:c r="F54" s="20" t="n">
        <x:v>0.8333333333333334</x:v>
      </x:c>
      <x:c r="G54" s="18" t="str">
        <x:v>Medium</x:v>
      </x:c>
      <x:c r="H54" s="18" t="str">
        <x:v>Grouped source item</x:v>
      </x:c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9" t="n">
        <x:v>46240</x:v>
      </x:c>
      <x:c r="B55" s="18" t="str">
        <x:v>require-db boundary finalisation</x:v>
      </x:c>
      <x:c r="C55" s="18" t="str">
        <x:v>Validation / Tests</x:v>
      </x:c>
      <x:c r="D55" s="18" t="str">
        <x:v>Scientific-notation carry-over finalisation</x:v>
      </x:c>
      <x:c r="E55" s="24" t="n">
        <x:v>20</x:v>
      </x:c>
      <x:c r="F55" s="20" t="n">
        <x:v>0.3333333333333333</x:v>
      </x:c>
      <x:c r="G55" s="18" t="str">
        <x:v>Medium</x:v>
      </x:c>
      <x:c r="H55" s="18" t="str">
        <x:v>Finalize boundary suite</x:v>
      </x:c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9" t="n">
        <x:v>46240</x:v>
      </x:c>
      <x:c r="B56" s="18" t="str">
        <x:v>Orphan sweep auth/double-failure tests</x:v>
      </x:c>
      <x:c r="C56" s="18" t="str">
        <x:v>Integration Tests</x:v>
      </x:c>
      <x:c r="D56" s="18" t="str">
        <x:v>401/403 and double-failure paths</x:v>
      </x:c>
      <x:c r="E56" s="24" t="n">
        <x:v>25</x:v>
      </x:c>
      <x:c r="F56" s="20" t="n">
        <x:v>0.4166666666666667</x:v>
      </x:c>
      <x:c r="G56" s="18" t="str">
        <x:v>Medium</x:v>
      </x:c>
      <x:c r="H56" s="18" t="str">
        <x:v>Auth + failure coverage</x:v>
      </x:c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9" t="n">
        <x:v>46240</x:v>
      </x:c>
      <x:c r="B57" s="18" t="str">
        <x:v>Stripe billing alert returns 200</x:v>
      </x:c>
      <x:c r="C57" s="18" t="str">
        <x:v>Reliability</x:v>
      </x:c>
      <x:c r="D57" s="18" t="str">
        <x:v>Email failure must not make Stripe receive 500</x:v>
      </x:c>
      <x:c r="E57" s="24" t="n">
        <x:v>18</x:v>
      </x:c>
      <x:c r="F57" s="20" t="n">
        <x:v>0.3</x:v>
      </x:c>
      <x:c r="G57" s="18" t="str">
        <x:v>High</x:v>
      </x:c>
      <x:c r="H57" s="18" t="str">
        <x:v>Webhook reliability</x:v>
      </x:c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9" t="n">
        <x:v>46240</x:v>
      </x:c>
      <x:c r="B58" s="18" t="str">
        <x:v>SMTP auth-error tests</x:v>
      </x:c>
      <x:c r="C58" s="18" t="str">
        <x:v>Tests</x:v>
      </x:c>
      <x:c r="D58" s="18" t="str">
        <x:v>All 4 operator alert email functions</x:v>
      </x:c>
      <x:c r="E58" s="24" t="n">
        <x:v>20</x:v>
      </x:c>
      <x:c r="F58" s="20" t="n">
        <x:v>0.3333333333333333</x:v>
      </x:c>
      <x:c r="G58" s="18" t="str">
        <x:v>Medium</x:v>
      </x:c>
      <x:c r="H58" s="18" t="str">
        <x:v>Transport auth coverage</x:v>
      </x:c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9" t="n">
        <x:v>46240</x:v>
      </x:c>
      <x:c r="B59" s="18" t="str">
        <x:v>Stripe payout stale-cache warning</x:v>
      </x:c>
      <x:c r="C59" s="18" t="str">
        <x:v>Reliability / UX</x:v>
      </x:c>
      <x:c r="D59" s="18" t="str">
        <x:v>Warn gallery owners</x:v>
      </x:c>
      <x:c r="E59" s="24" t="n">
        <x:v>18</x:v>
      </x:c>
      <x:c r="F59" s="20" t="n">
        <x:v>0.3</x:v>
      </x:c>
      <x:c r="G59" s="18" t="str">
        <x:v>Medium</x:v>
      </x:c>
      <x:c r="H59" s="18" t="str">
        <x:v>State consistency</x:v>
      </x:c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9" t="n">
        <x:v>46240</x:v>
      </x:c>
      <x:c r="B60" s="18" t="str">
        <x:v>Webhook stale-cache resync</x:v>
      </x:c>
      <x:c r="C60" s="18" t="str">
        <x:v>Integration Tests</x:v>
      </x:c>
      <x:c r="D60" s="18" t="str">
        <x:v>Warning clears after account.updated</x:v>
      </x:c>
      <x:c r="E60" s="24" t="n">
        <x:v>18</x:v>
      </x:c>
      <x:c r="F60" s="20" t="n">
        <x:v>0.3</x:v>
      </x:c>
      <x:c r="G60" s="18" t="str">
        <x:v>Medium</x:v>
      </x:c>
      <x:c r="H60" s="18" t="str">
        <x:v>Webhook state reconciliation</x:v>
      </x:c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9" t="n">
        <x:v>46240</x:v>
      </x:c>
      <x:c r="B61" s="18" t="str">
        <x:v>StripeReadinessPanel + UI tests</x:v>
      </x:c>
      <x:c r="C61" s="18" t="str">
        <x:v>Feature / Tests</x:v>
      </x:c>
      <x:c r="D61" s="18" t="str">
        <x:v>Extract panel + Yes/No/Not-yet-received</x:v>
      </x:c>
      <x:c r="E61" s="24" t="n">
        <x:v>30</x:v>
      </x:c>
      <x:c r="F61" s="20" t="n">
        <x:v>0.5</x:v>
      </x:c>
      <x:c r="G61" s="18" t="str">
        <x:v>Medium</x:v>
      </x:c>
      <x:c r="H61" s="18" t="str">
        <x:v>Component + comprehensive UI tests</x:v>
      </x:c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9" t="n">
        <x:v>46240</x:v>
      </x:c>
      <x:c r="B62" s="18" t="str">
        <x:v>Stripe refresh onboarding E2E</x:v>
      </x:c>
      <x:c r="C62" s="18" t="str">
        <x:v>E2E Test</x:v>
      </x:c>
      <x:c r="D62" s="18" t="str">
        <x:v>/settings?stripe=refresh</x:v>
      </x:c>
      <x:c r="E62" s="24" t="n">
        <x:v>20</x:v>
      </x:c>
      <x:c r="F62" s="20" t="n">
        <x:v>0.3333333333333333</x:v>
      </x:c>
      <x:c r="G62" s="18" t="str">
        <x:v>Medium</x:v>
      </x:c>
      <x:c r="H62" s="18" t="str">
        <x:v>End-to-end workflow</x:v>
      </x:c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9" t="n">
        <x:v>46240</x:v>
      </x:c>
      <x:c r="B63" s="18" t="str">
        <x:v>False-readiness DB assertion</x:v>
      </x:c>
      <x:c r="C63" s="18" t="str">
        <x:v>Integration Tests</x:v>
      </x:c>
      <x:c r="D63" s="18" t="str">
        <x:v>Artwork stays AVAILABLE</x:v>
      </x:c>
      <x:c r="E63" s="24" t="n">
        <x:v>15</x:v>
      </x:c>
      <x:c r="F63" s="20" t="n">
        <x:v>0.25</x:v>
      </x:c>
      <x:c r="G63" s="18" t="str">
        <x:v>Medium</x:v>
      </x:c>
      <x:c r="H63" s="18" t="str">
        <x:v>Checkout state integrity</x:v>
      </x:c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9" t="n">
        <x:v>46240</x:v>
      </x:c>
      <x:c r="B64" s="18" t="str">
        <x:v>Checkout re-auth recovery</x:v>
      </x:c>
      <x:c r="C64" s="18" t="str">
        <x:v>Integration Tests</x:v>
      </x:c>
      <x:c r="D64" s="18" t="str">
        <x:v>Recover after account.updated</x:v>
      </x:c>
      <x:c r="E64" s="24" t="n">
        <x:v>20</x:v>
      </x:c>
      <x:c r="F64" s="20" t="n">
        <x:v>0.3333333333333333</x:v>
      </x:c>
      <x:c r="G64" s="18" t="str">
        <x:v>High</x:v>
      </x:c>
      <x:c r="H64" s="18" t="str">
        <x:v>Billing recovery path</x:v>
      </x:c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9" t="n">
        <x:v>46240</x:v>
      </x:c>
      <x:c r="B65" s="18" t="str">
        <x:v>account_invalid 503 handling</x:v>
      </x:c>
      <x:c r="C65" s="18" t="str">
        <x:v>Bug Fix / Tests</x:v>
      </x:c>
      <x:c r="D65" s="18" t="str">
        <x:v>null stripeChargesEnabled → 503 not 500</x:v>
      </x:c>
      <x:c r="E65" s="24" t="n">
        <x:v>15</x:v>
      </x:c>
      <x:c r="F65" s="20" t="n">
        <x:v>0.25</x:v>
      </x:c>
      <x:c r="G65" s="18" t="str">
        <x:v>Medium</x:v>
      </x:c>
      <x:c r="H65" s="18" t="str">
        <x:v>Error semantics</x:v>
      </x:c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9" t="n">
        <x:v>46240</x:v>
      </x:c>
      <x:c r="B66" s="18" t="str">
        <x:v>Stripe deauth UI tests</x:v>
      </x:c>
      <x:c r="C66" s="18" t="str">
        <x:v>UI Tests</x:v>
      </x:c>
      <x:c r="D66" s="18" t="str">
        <x:v>Mid-session deauthorization</x:v>
      </x:c>
      <x:c r="E66" s="24" t="n">
        <x:v>15</x:v>
      </x:c>
      <x:c r="F66" s="20" t="n">
        <x:v>0.25</x:v>
      </x:c>
      <x:c r="G66" s="18" t="str">
        <x:v>Medium</x:v>
      </x:c>
      <x:c r="H66" s="18" t="str">
        <x:v>State transition UI</x:v>
      </x:c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9" t="n">
        <x:v>46240</x:v>
      </x:c>
      <x:c r="B67" s="18" t="str">
        <x:v>SOLD/RESERVED CTA tests</x:v>
      </x:c>
      <x:c r="C67" s="18" t="str">
        <x:v>UI Tests</x:v>
      </x:c>
      <x:c r="D67" s="18" t="str">
        <x:v>Artwork CTA rendering</x:v>
      </x:c>
      <x:c r="E67" s="24" t="n">
        <x:v>12</x:v>
      </x:c>
      <x:c r="F67" s="20" t="n">
        <x:v>0.2</x:v>
      </x:c>
      <x:c r="G67" s="18" t="str">
        <x:v>Low</x:v>
      </x:c>
      <x:c r="H67" s="18" t="str">
        <x:v>Focused render tests</x:v>
      </x:c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9" t="n">
        <x:v>46240</x:v>
      </x:c>
      <x:c r="B68" s="18" t="str">
        <x:v>Billing Slack alert assertion</x:v>
      </x:c>
      <x:c r="C68" s="18" t="str">
        <x:v>Integration Tests</x:v>
      </x:c>
      <x:c r="D68" s="18" t="str">
        <x:v>Retrieve fallback</x:v>
      </x:c>
      <x:c r="E68" s="24" t="n">
        <x:v>12</x:v>
      </x:c>
      <x:c r="F68" s="20" t="n">
        <x:v>0.2</x:v>
      </x:c>
      <x:c r="G68" s="18" t="str">
        <x:v>Low</x:v>
      </x:c>
      <x:c r="H68" s="18" t="str">
        <x:v>Notification assertion</x:v>
      </x:c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9" t="n">
        <x:v>46240</x:v>
      </x:c>
      <x:c r="B69" s="18" t="str">
        <x:v>Trial countdown UI boundaries</x:v>
      </x:c>
      <x:c r="C69" s="18" t="str">
        <x:v>UI Tests</x:v>
      </x:c>
      <x:c r="D69" s="18" t="str">
        <x:v>0/1/3/4 days and colors</x:v>
      </x:c>
      <x:c r="E69" s="24" t="n">
        <x:v>18</x:v>
      </x:c>
      <x:c r="F69" s="20" t="n">
        <x:v>0.3</x:v>
      </x:c>
      <x:c r="G69" s="18" t="str">
        <x:v>Medium</x:v>
      </x:c>
      <x:c r="H69" s="18" t="str">
        <x:v>Boundary UI</x:v>
      </x:c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9" t="n">
        <x:v>46240</x:v>
      </x:c>
      <x:c r="B70" s="18" t="str">
        <x:v>BuyNowButton empty 503 fallback</x:v>
      </x:c>
      <x:c r="C70" s="18" t="str">
        <x:v>Bug Fix / Tests</x:v>
      </x:c>
      <x:c r="D70" s="18" t="str">
        <x:v>Empty response body fallback</x:v>
      </x:c>
      <x:c r="E70" s="24" t="n">
        <x:v>12</x:v>
      </x:c>
      <x:c r="F70" s="20" t="n">
        <x:v>0.2</x:v>
      </x:c>
      <x:c r="G70" s="18" t="str">
        <x:v>Low</x:v>
      </x:c>
      <x:c r="H70" s="18" t="str">
        <x:v>Focused error handling</x:v>
      </x:c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9" t="n">
        <x:v>46240</x:v>
      </x:c>
      <x:c r="B71" s="18" t="str">
        <x:v>Trialing checkout + retrieve alert</x:v>
      </x:c>
      <x:c r="C71" s="18" t="str">
        <x:v>Integration Tests</x:v>
      </x:c>
      <x:c r="D71" s="18" t="str">
        <x:v>Trialing checkout; subscriptions.retrieve alert</x:v>
      </x:c>
      <x:c r="E71" s="24" t="n">
        <x:v>20</x:v>
      </x:c>
      <x:c r="F71" s="20" t="n">
        <x:v>0.3333333333333333</x:v>
      </x:c>
      <x:c r="G71" s="18" t="str">
        <x:v>Medium</x:v>
      </x:c>
      <x:c r="H71" s="18" t="str">
        <x:v>Billing flow</x:v>
      </x:c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9" t="n">
        <x:v>46240</x:v>
      </x:c>
      <x:c r="B72" s="18" t="str">
        <x:v>Trial countdown webhook tests</x:v>
      </x:c>
      <x:c r="C72" s="18" t="str">
        <x:v>Integration Tests</x:v>
      </x:c>
      <x:c r="D72" s="18" t="str">
        <x:v>trialEnd store/clear lifecycle</x:v>
      </x:c>
      <x:c r="E72" s="24" t="n">
        <x:v>20</x:v>
      </x:c>
      <x:c r="F72" s="20" t="n">
        <x:v>0.3333333333333333</x:v>
      </x:c>
      <x:c r="G72" s="18" t="str">
        <x:v>Medium</x:v>
      </x:c>
      <x:c r="H72" s="18" t="str">
        <x:v>Webhook lifecycle</x:v>
      </x:c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9" t="n">
        <x:v>46240</x:v>
      </x:c>
      <x:c r="B73" s="18" t="str">
        <x:v>Refund succeeds / DB fails Slack alert</x:v>
      </x:c>
      <x:c r="C73" s="18" t="str">
        <x:v>Reliability</x:v>
      </x:c>
      <x:c r="D73" s="18" t="str">
        <x:v>Alert partial failure</x:v>
      </x:c>
      <x:c r="E73" s="24" t="n">
        <x:v>18</x:v>
      </x:c>
      <x:c r="F73" s="20" t="n">
        <x:v>0.3</x:v>
      </x:c>
      <x:c r="G73" s="18" t="str">
        <x:v>High</x:v>
      </x:c>
      <x:c r="H73" s="18" t="str">
        <x:v>Financial failure visibility</x:v>
      </x:c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9" t="n">
        <x:v>46240</x:v>
      </x:c>
      <x:c r="B74" s="18" t="str">
        <x:v>Double-refund guard</x:v>
      </x:c>
      <x:c r="C74" s="18" t="str">
        <x:v>Integration Tests</x:v>
      </x:c>
      <x:c r="D74" s="18" t="str">
        <x:v>Real DB</x:v>
      </x:c>
      <x:c r="E74" s="24" t="n">
        <x:v>20</x:v>
      </x:c>
      <x:c r="F74" s="20" t="n">
        <x:v>0.3333333333333333</x:v>
      </x:c>
      <x:c r="G74" s="18" t="str">
        <x:v>High</x:v>
      </x:c>
      <x:c r="H74" s="18" t="str">
        <x:v>Financial idempotency</x:v>
      </x:c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9" t="n">
        <x:v>46240</x:v>
      </x:c>
      <x:c r="B75" s="18" t="str">
        <x:v>Image storage startup alert</x:v>
      </x:c>
      <x:c r="C75" s="18" t="str">
        <x:v>Observability</x:v>
      </x:c>
      <x:c r="D75" s="18" t="str">
        <x:v>instrumentation.ts</x:v>
      </x:c>
      <x:c r="E75" s="24" t="n">
        <x:v>15</x:v>
      </x:c>
      <x:c r="F75" s="20" t="n">
        <x:v>0.25</x:v>
      </x:c>
      <x:c r="G75" s="18" t="str">
        <x:v>Medium</x:v>
      </x:c>
      <x:c r="H75" s="18" t="str">
        <x:v>Storage monitoring</x:v>
      </x:c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9" t="n">
        <x:v>46240</x:v>
      </x:c>
      <x:c r="B76" s="18" t="str">
        <x:v>Operator Suspense + diagnostic cache</x:v>
      </x:c>
      <x:c r="C76" s="18" t="str">
        <x:v>Performance / UI</x:v>
      </x:c>
      <x:c r="D76" s="18" t="str">
        <x:v>Streaming + 60s Stripe diagnostic cache</x:v>
      </x:c>
      <x:c r="E76" s="24" t="n">
        <x:v>25</x:v>
      </x:c>
      <x:c r="F76" s="20" t="n">
        <x:v>0.4166666666666667</x:v>
      </x:c>
      <x:c r="G76" s="18" t="str">
        <x:v>Medium</x:v>
      </x:c>
      <x:c r="H76" s="18" t="str">
        <x:v>Performance/architecture</x:v>
      </x:c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9" t="n">
        <x:v>46240</x:v>
      </x:c>
      <x:c r="B77" s="18" t="str">
        <x:v>Checkout completed idempotency</x:v>
      </x:c>
      <x:c r="C77" s="18" t="str">
        <x:v>Integration Tests</x:v>
      </x:c>
      <x:c r="D77" s="18" t="str">
        <x:v>Duplicate webhook real DB</x:v>
      </x:c>
      <x:c r="E77" s="24" t="n">
        <x:v>20</x:v>
      </x:c>
      <x:c r="F77" s="20" t="n">
        <x:v>0.3333333333333333</x:v>
      </x:c>
      <x:c r="G77" s="18" t="str">
        <x:v>High</x:v>
      </x:c>
      <x:c r="H77" s="18" t="str">
        <x:v>Payment idempotency</x:v>
      </x:c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9" t="n">
        <x:v>46240</x:v>
      </x:c>
      <x:c r="B78" s="18" t="str">
        <x:v>Stripe retry after tx rollback</x:v>
      </x:c>
      <x:c r="C78" s="18" t="str">
        <x:v>Integration Tests</x:v>
      </x:c>
      <x:c r="D78" s="18" t="str">
        <x:v>Partial rollback allows SOLD retry</x:v>
      </x:c>
      <x:c r="E78" s="24" t="n">
        <x:v>22</x:v>
      </x:c>
      <x:c r="F78" s="20" t="n">
        <x:v>0.36666666666666664</x:v>
      </x:c>
      <x:c r="G78" s="18" t="str">
        <x:v>High</x:v>
      </x:c>
      <x:c r="H78" s="18" t="str">
        <x:v>Transaction recovery</x:v>
      </x:c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9" t="n">
        <x:v>46240</x:v>
      </x:c>
      <x:c r="B79" s="18" t="str">
        <x:v>Commission odd-cent rounding tests</x:v>
      </x:c>
      <x:c r="C79" s="18" t="str">
        <x:v>Tests</x:v>
      </x:c>
      <x:c r="D79" s="18" t="str">
        <x:v>Checkout commission units</x:v>
      </x:c>
      <x:c r="E79" s="24" t="n">
        <x:v>15</x:v>
      </x:c>
      <x:c r="F79" s="20" t="n">
        <x:v>0.25</x:v>
      </x:c>
      <x:c r="G79" s="18" t="str">
        <x:v>Medium</x:v>
      </x:c>
      <x:c r="H79" s="18" t="str">
        <x:v>Financial calculation</x:v>
      </x:c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9" t="n">
        <x:v>46240</x:v>
      </x:c>
      <x:c r="B80" s="18" t="str">
        <x:v>Seller + location DB filter</x:v>
      </x:c>
      <x:c r="C80" s="18" t="str">
        <x:v>Integration Tests</x:v>
      </x:c>
      <x:c r="D80" s="18" t="str">
        <x:v>Combined filter real DB</x:v>
      </x:c>
      <x:c r="E80" s="24" t="n">
        <x:v>15</x:v>
      </x:c>
      <x:c r="F80" s="20" t="n">
        <x:v>0.25</x:v>
      </x:c>
      <x:c r="G80" s="18" t="str">
        <x:v>Medium</x:v>
      </x:c>
      <x:c r="H80" s="18" t="str">
        <x:v>Query integration</x:v>
      </x:c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9" t="n">
        <x:v>46240</x:v>
      </x:c>
      <x:c r="B81" s="18" t="str">
        <x:v>Platform fee startup validation</x:v>
      </x:c>
      <x:c r="C81" s="18" t="str">
        <x:v>Validation</x:v>
      </x:c>
      <x:c r="D81" s="18" t="str">
        <x:v>Guard + fallback invalid percent</x:v>
      </x:c>
      <x:c r="E81" s="24" t="n">
        <x:v>18</x:v>
      </x:c>
      <x:c r="F81" s="20" t="n">
        <x:v>0.3</x:v>
      </x:c>
      <x:c r="G81" s="18" t="str">
        <x:v>Medium</x:v>
      </x:c>
      <x:c r="H81" s="18" t="str">
        <x:v>Configuration integrity</x:v>
      </x:c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9" t="n">
        <x:v>46240</x:v>
      </x:c>
      <x:c r="B82" s="18" t="str">
        <x:v>Rate-limit stale-row sweep</x:v>
      </x:c>
      <x:c r="C82" s="18" t="str">
        <x:v>Test Infrastructure</x:v>
      </x:c>
      <x:c r="D82" s="18" t="str">
        <x:v>Clean before suite</x:v>
      </x:c>
      <x:c r="E82" s="24" t="n">
        <x:v>12</x:v>
      </x:c>
      <x:c r="F82" s="20" t="n">
        <x:v>0.2</x:v>
      </x:c>
      <x:c r="G82" s="18" t="str">
        <x:v>Low</x:v>
      </x:c>
      <x:c r="H82" s="18" t="str">
        <x:v>Test stability</x:v>
      </x:c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9" t="n">
        <x:v>46240</x:v>
      </x:c>
      <x:c r="B83" s="18" t="str">
        <x:v>Weekly engineering deliverables</x:v>
      </x:c>
      <x:c r="C83" s="18" t="str">
        <x:v>Documentation / Reporting</x:v>
      </x:c>
      <x:c r="D83" s="18" t="str">
        <x:v>WORK_LOG + weekly activity + engineering reports</x:v>
      </x:c>
      <x:c r="E83" s="24" t="n">
        <x:v>50</x:v>
      </x:c>
      <x:c r="F83" s="20" t="n">
        <x:v>0.8333333333333334</x:v>
      </x:c>
      <x:c r="G83" s="18" t="str">
        <x:v>Medium</x:v>
      </x:c>
      <x:c r="H83" s="18" t="str">
        <x:v>Technical reporting and verification</x:v>
      </x:c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9" t="n">
        <x:v>46241</x:v>
      </x:c>
      <x:c r="B84" s="18" t="str">
        <x:v>i-Framer Premium admin panel</x:v>
      </x:c>
      <x:c r="C84" s="18" t="str">
        <x:v>Feature</x:v>
      </x:c>
      <x:c r="D84" s="18" t="str">
        <x:v>Premium panel in platform admin</x:v>
      </x:c>
      <x:c r="E84" s="24" t="n">
        <x:v>30</x:v>
      </x:c>
      <x:c r="F84" s="20" t="n">
        <x:v>0.5</x:v>
      </x:c>
      <x:c r="G84" s="18" t="str">
        <x:v>High</x:v>
      </x:c>
      <x:c r="H84" s="18" t="str">
        <x:v>Platform feature</x:v>
      </x:c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9" t="n">
        <x:v>46241</x:v>
      </x:c>
      <x:c r="B85" s="18" t="str">
        <x:v>setIframerAccount billing access</x:v>
      </x:c>
      <x:c r="C85" s="18" t="str">
        <x:v>Feature / Integration</x:v>
      </x:c>
      <x:c r="D85" s="18" t="str">
        <x:v>End-to-end real DB access grant</x:v>
      </x:c>
      <x:c r="E85" s="24" t="n">
        <x:v>30</x:v>
      </x:c>
      <x:c r="F85" s="20" t="n">
        <x:v>0.5</x:v>
      </x:c>
      <x:c r="G85" s="18" t="str">
        <x:v>High</x:v>
      </x:c>
      <x:c r="H85" s="18" t="str">
        <x:v>Billing integration</x:v>
      </x:c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9" t="n">
        <x:v>46241</x:v>
      </x:c>
      <x:c r="B86" s="18" t="str">
        <x:v>i-Framer Slack link/unlink notification</x:v>
      </x:c>
      <x:c r="C86" s="18" t="str">
        <x:v>Integration</x:v>
      </x:c>
      <x:c r="D86" s="18" t="str">
        <x:v>Slack audit notification</x:v>
      </x:c>
      <x:c r="E86" s="24" t="n">
        <x:v>18</x:v>
      </x:c>
      <x:c r="F86" s="20" t="n">
        <x:v>0.3</x:v>
      </x:c>
      <x:c r="G86" s="18" t="str">
        <x:v>Medium</x:v>
      </x:c>
      <x:c r="H86" s="18" t="str">
        <x:v>External notification</x:v>
      </x:c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9" t="n">
        <x:v>46241</x:v>
      </x:c>
      <x:c r="B87" s="18" t="str">
        <x:v>Concurrent billing-link survival</x:v>
      </x:c>
      <x:c r="C87" s="18" t="str">
        <x:v>Integration Tests</x:v>
      </x:c>
      <x:c r="D87" s="18" t="str">
        <x:v>Task #471 real DB</x:v>
      </x:c>
      <x:c r="E87" s="24" t="n">
        <x:v>18</x:v>
      </x:c>
      <x:c r="F87" s="20" t="n">
        <x:v>0.3</x:v>
      </x:c>
      <x:c r="G87" s="18" t="str">
        <x:v>High</x:v>
      </x:c>
      <x:c r="H87" s="18" t="str">
        <x:v>Concurrency safety</x:v>
      </x:c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9" t="n">
        <x:v>46241</x:v>
      </x:c>
      <x:c r="B88" s="18" t="str">
        <x:v>Correct DB identity in Slack</x:v>
      </x:c>
      <x:c r="C88" s="18" t="str">
        <x:v>Bug Fix / Tests</x:v>
      </x:c>
      <x:c r="D88" s="18" t="str">
        <x:v>Task #472 slug/businessName/adminEmail</x:v>
      </x:c>
      <x:c r="E88" s="24" t="n">
        <x:v>15</x:v>
      </x:c>
      <x:c r="F88" s="20" t="n">
        <x:v>0.25</x:v>
      </x:c>
      <x:c r="G88" s="18" t="str">
        <x:v>Medium</x:v>
      </x:c>
      <x:c r="H88" s="18" t="str">
        <x:v>Data correctness</x:v>
      </x:c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9" t="n">
        <x:v>46241</x:v>
      </x:c>
      <x:c r="B89" s="18" t="str">
        <x:v>Comp-removed alert</x:v>
      </x:c>
      <x:c r="C89" s="18" t="str">
        <x:v>Integration Tests</x:v>
      </x:c>
      <x:c r="D89" s="18" t="str">
        <x:v>Task #479 real DB</x:v>
      </x:c>
      <x:c r="E89" s="24" t="n">
        <x:v>18</x:v>
      </x:c>
      <x:c r="F89" s="20" t="n">
        <x:v>0.3</x:v>
      </x:c>
      <x:c r="G89" s="18" t="str">
        <x:v>Medium</x:v>
      </x:c>
      <x:c r="H89" s="18" t="str">
        <x:v>Billing audit</x:v>
      </x:c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9" t="n">
        <x:v>46241</x:v>
      </x:c>
      <x:c r="B90" s="18" t="str">
        <x:v>Acting admin name display</x:v>
      </x:c>
      <x:c r="C90" s="18" t="str">
        <x:v>UX / Audit</x:v>
      </x:c>
      <x:c r="D90" s="18" t="str">
        <x:v>Show admin actor</x:v>
      </x:c>
      <x:c r="E90" s="24" t="n">
        <x:v>12</x:v>
      </x:c>
      <x:c r="F90" s="20" t="n">
        <x:v>0.2</x:v>
      </x:c>
      <x:c r="G90" s="18" t="str">
        <x:v>Low</x:v>
      </x:c>
      <x:c r="H90" s="18" t="str">
        <x:v>Audit UX</x:v>
      </x:c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9" t="n">
        <x:v>46241</x:v>
      </x:c>
      <x:c r="B91" s="18" t="str">
        <x:v>Subscription-loss alert</x:v>
      </x:c>
      <x:c r="C91" s="18" t="str">
        <x:v>Integration</x:v>
      </x:c>
      <x:c r="D91" s="18" t="str">
        <x:v>Task #484 Stripe webhook</x:v>
      </x:c>
      <x:c r="E91" s="24" t="n">
        <x:v>18</x:v>
      </x:c>
      <x:c r="F91" s="20" t="n">
        <x:v>0.3</x:v>
      </x:c>
      <x:c r="G91" s="18" t="str">
        <x:v>High</x:v>
      </x:c>
      <x:c r="H91" s="18" t="str">
        <x:v>Billing lifecycle alert</x:v>
      </x:c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9" t="n">
        <x:v>46241</x:v>
      </x:c>
      <x:c r="B92" s="18" t="str">
        <x:v>Failed Slack audit replay</x:v>
      </x:c>
      <x:c r="C92" s="18" t="str">
        <x:v>Reliability</x:v>
      </x:c>
      <x:c r="D92" s="18" t="str">
        <x:v>Record/replay failed i-Framer notifications</x:v>
      </x:c>
      <x:c r="E92" s="24" t="n">
        <x:v>25</x:v>
      </x:c>
      <x:c r="F92" s="20" t="n">
        <x:v>0.4166666666666667</x:v>
      </x:c>
      <x:c r="G92" s="18" t="str">
        <x:v>High</x:v>
      </x:c>
      <x:c r="H92" s="18" t="str">
        <x:v>Durable notification design</x:v>
      </x:c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9" t="n">
        <x:v>46241</x:v>
      </x:c>
      <x:c r="B93" s="18" t="str">
        <x:v>Schema drift post-merge resolution</x:v>
      </x:c>
      <x:c r="C93" s="18" t="str">
        <x:v>DevOps</x:v>
      </x:c>
      <x:c r="D93" s="18" t="str">
        <x:v>Resolve drift after agent merges</x:v>
      </x:c>
      <x:c r="E93" s="24" t="n">
        <x:v>18</x:v>
      </x:c>
      <x:c r="F93" s="20" t="n">
        <x:v>0.3</x:v>
      </x:c>
      <x:c r="G93" s="18" t="str">
        <x:v>Medium</x:v>
      </x:c>
      <x:c r="H93" s="18" t="str">
        <x:v>Post-merge repair</x:v>
      </x:c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9" t="n">
        <x:v>46241</x:v>
      </x:c>
      <x:c r="B94" s="18" t="str">
        <x:v>Slack smoke probe + CI workflow</x:v>
      </x:c>
      <x:c r="C94" s="18" t="str">
        <x:v>Observability / CI</x:v>
      </x:c>
      <x:c r="D94" s="18" t="str">
        <x:v>/api/slack-smoke + reconnect workflow</x:v>
      </x:c>
      <x:c r="E94" s="24" t="n">
        <x:v>30</x:v>
      </x:c>
      <x:c r="F94" s="20" t="n">
        <x:v>0.5</x:v>
      </x:c>
      <x:c r="G94" s="18" t="str">
        <x:v>High</x:v>
      </x:c>
      <x:c r="H94" s="18" t="str">
        <x:v>Monitoring infrastructure</x:v>
      </x:c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9" t="n">
        <x:v>46241</x:v>
      </x:c>
      <x:c r="B95" s="18" t="str">
        <x:v>Weekly Slack smoke failure email</x:v>
      </x:c>
      <x:c r="C95" s="18" t="str">
        <x:v>Reliability</x:v>
      </x:c>
      <x:c r="D95" s="18" t="str">
        <x:v>Email alert on CI failure</x:v>
      </x:c>
      <x:c r="E95" s="24" t="n">
        <x:v>15</x:v>
      </x:c>
      <x:c r="F95" s="20" t="n">
        <x:v>0.25</x:v>
      </x:c>
      <x:c r="G95" s="18" t="str">
        <x:v>Medium</x:v>
      </x:c>
      <x:c r="H95" s="18" t="str">
        <x:v>Secondary notification</x:v>
      </x:c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9" t="n">
        <x:v>46241</x:v>
      </x:c>
      <x:c r="B96" s="18" t="str">
        <x:v>Slack smoke auth tests</x:v>
      </x:c>
      <x:c r="C96" s="18" t="str">
        <x:v>Tests</x:v>
      </x:c>
      <x:c r="D96" s="18" t="str">
        <x:v>Route auth guard</x:v>
      </x:c>
      <x:c r="E96" s="24" t="n">
        <x:v>12</x:v>
      </x:c>
      <x:c r="F96" s="20" t="n">
        <x:v>0.2</x:v>
      </x:c>
      <x:c r="G96" s="18" t="str">
        <x:v>Low</x:v>
      </x:c>
      <x:c r="H96" s="18" t="str">
        <x:v>Focused security tests</x:v>
      </x:c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9" t="n">
        <x:v>46241</x:v>
      </x:c>
      <x:c r="B97" s="18" t="str">
        <x:v>No-install Resend fallback</x:v>
      </x:c>
      <x:c r="C97" s="18" t="str">
        <x:v>CI / Reliability</x:v>
      </x:c>
      <x:c r="D97" s="18" t="str">
        <x:v>Workflow fallback email</x:v>
      </x:c>
      <x:c r="E97" s="24" t="n">
        <x:v>15</x:v>
      </x:c>
      <x:c r="F97" s="20" t="n">
        <x:v>0.25</x:v>
      </x:c>
      <x:c r="G97" s="18" t="str">
        <x:v>Medium</x:v>
      </x:c>
      <x:c r="H97" s="18" t="str">
        <x:v>CI notification path</x:v>
      </x:c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9" t="n">
        <x:v>46241</x:v>
      </x:c>
      <x:c r="B98" s="18" t="str">
        <x:v>Duplicate smoke email prevention</x:v>
      </x:c>
      <x:c r="C98" s="18" t="str">
        <x:v>Reliability</x:v>
      </x:c>
      <x:c r="D98" s="18" t="str">
        <x:v>Dedup both Resend paths</x:v>
      </x:c>
      <x:c r="E98" s="24" t="n">
        <x:v>15</x:v>
      </x:c>
      <x:c r="F98" s="20" t="n">
        <x:v>0.25</x:v>
      </x:c>
      <x:c r="G98" s="18" t="str">
        <x:v>Medium</x:v>
      </x:c>
      <x:c r="H98" s="18" t="str">
        <x:v>Alert dedup</x:v>
      </x:c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9" t="n">
        <x:v>46241</x:v>
      </x:c>
      <x:c r="B99" s="18" t="str">
        <x:v>Live-server checklist</x:v>
      </x:c>
      <x:c r="C99" s="18" t="str">
        <x:v>QA / Documentation</x:v>
      </x:c>
      <x:c r="D99" s="18" t="str">
        <x:v>Checklist + daily reminder</x:v>
      </x:c>
      <x:c r="E99" s="24" t="n">
        <x:v>20</x:v>
      </x:c>
      <x:c r="F99" s="20" t="n">
        <x:v>0.3333333333333333</x:v>
      </x:c>
      <x:c r="G99" s="18" t="str">
        <x:v>Medium</x:v>
      </x:c>
      <x:c r="H99" s="18" t="str">
        <x:v>Production QA process</x:v>
      </x:c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9" t="n">
        <x:v>46241</x:v>
      </x:c>
      <x:c r="B100" s="18" t="str">
        <x:v>Smoke email dedup guard</x:v>
      </x:c>
      <x:c r="C100" s="18" t="str">
        <x:v>Reliability</x:v>
      </x:c>
      <x:c r="D100" s="18" t="str">
        <x:v>RESEND_ALREADY_SENT</x:v>
      </x:c>
      <x:c r="E100" s="24" t="n">
        <x:v>12</x:v>
      </x:c>
      <x:c r="F100" s="20" t="n">
        <x:v>0.2</x:v>
      </x:c>
      <x:c r="G100" s="18" t="str">
        <x:v>Low</x:v>
      </x:c>
      <x:c r="H100" s="18" t="str">
        <x:v>Focused dedup</x:v>
      </x:c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9" t="n">
        <x:v>46241</x:v>
      </x:c>
      <x:c r="B101" s="18" t="str">
        <x:v>Missing PLATFORM_ADMIN_EMAIL guards</x:v>
      </x:c>
      <x:c r="C101" s="18" t="str">
        <x:v>Reliability</x:v>
      </x:c>
      <x:c r="D101" s="18" t="str">
        <x:v>Skip operator notifications safely</x:v>
      </x:c>
      <x:c r="E101" s="24" t="n">
        <x:v>12</x:v>
      </x:c>
      <x:c r="F101" s="20" t="n">
        <x:v>0.2</x:v>
      </x:c>
      <x:c r="G101" s="18" t="str">
        <x:v>Low</x:v>
      </x:c>
      <x:c r="H101" s="18" t="str">
        <x:v>Config guard</x:v>
      </x:c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9" t="n">
        <x:v>46241</x:v>
      </x:c>
      <x:c r="B102" s="18" t="str">
        <x:v>Orphan sweep email delivery tests</x:v>
      </x:c>
      <x:c r="C102" s="18" t="str">
        <x:v>Integration Tests</x:v>
      </x:c>
      <x:c r="D102" s="18" t="str">
        <x:v>Resend + SMTP paths</x:v>
      </x:c>
      <x:c r="E102" s="24" t="n">
        <x:v>20</x:v>
      </x:c>
      <x:c r="F102" s="20" t="n">
        <x:v>0.3333333333333333</x:v>
      </x:c>
      <x:c r="G102" s="18" t="str">
        <x:v>Medium</x:v>
      </x:c>
      <x:c r="H102" s="18" t="str">
        <x:v>Two transport paths</x:v>
      </x:c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9" t="n">
        <x:v>46241</x:v>
      </x:c>
      <x:c r="B103" s="18" t="str">
        <x:v>Orphan sweep error propagation</x:v>
      </x:c>
      <x:c r="C103" s="18" t="str">
        <x:v>Reliability</x:v>
      </x:c>
      <x:c r="D103" s="18" t="str">
        <x:v>Email rethrow reaches caller</x:v>
      </x:c>
      <x:c r="E103" s="24" t="n">
        <x:v>12</x:v>
      </x:c>
      <x:c r="F103" s="20" t="n">
        <x:v>0.2</x:v>
      </x:c>
      <x:c r="G103" s="18" t="str">
        <x:v>Medium</x:v>
      </x:c>
      <x:c r="H103" s="18" t="str">
        <x:v>Failure semantics</x:v>
      </x:c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9" t="n">
        <x:v>46241</x:v>
      </x:c>
      <x:c r="B104" s="18" t="str">
        <x:v>CRON_SECRET integration coverage</x:v>
      </x:c>
      <x:c r="C104" s="18" t="str">
        <x:v>Security / Tests</x:v>
      </x:c>
      <x:c r="D104" s="18" t="str">
        <x:v>Orphan/reservation/email sweep auth cases</x:v>
      </x:c>
      <x:c r="E104" s="24" t="n">
        <x:v>30</x:v>
      </x:c>
      <x:c r="F104" s="20" t="n">
        <x:v>0.5</x:v>
      </x:c>
      <x:c r="G104" s="18" t="str">
        <x:v>High</x:v>
      </x:c>
      <x:c r="H104" s="18" t="str">
        <x:v>Multiple cron auth paths</x:v>
      </x:c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9" t="n">
        <x:v>46241</x:v>
      </x:c>
      <x:c r="B105" s="18" t="str">
        <x:v>Storage health live investigation</x:v>
      </x:c>
      <x:c r="C105" s="18" t="str">
        <x:v>Production QA</x:v>
      </x:c>
      <x:c r="D105" s="18" t="str">
        <x:v>Reverify health; document Blob setup guide</x:v>
      </x:c>
      <x:c r="E105" s="24" t="n">
        <x:v>25</x:v>
      </x:c>
      <x:c r="F105" s="20" t="n">
        <x:v>0.4166666666666667</x:v>
      </x:c>
      <x:c r="G105" s="18" t="str">
        <x:v>Medium</x:v>
      </x:c>
      <x:c r="H105" s="18" t="str">
        <x:v>Live environment investigation</x:v>
      </x:c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9" t="n">
        <x:v>46242</x:v>
      </x:c>
      <x:c r="B106" s="18" t="str">
        <x:v>Platform reporting &amp; tenant management</x:v>
      </x:c>
      <x:c r="C106" s="18" t="str">
        <x:v>Feature</x:v>
      </x:c>
      <x:c r="D106" s="18" t="str">
        <x:v>Admin UI reporting and tenant management features</x:v>
      </x:c>
      <x:c r="E106" s="24" t="n">
        <x:v>75</x:v>
      </x:c>
      <x:c r="F106" s="20" t="n">
        <x:v>1.25</x:v>
      </x:c>
      <x:c r="G106" s="18" t="str">
        <x:v>High</x:v>
      </x:c>
      <x:c r="H106" s="18" t="str">
        <x:v>Platform/admin feature work</x:v>
      </x:c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9" t="n">
        <x:v>46242</x:v>
      </x:c>
      <x:c r="B107" s="18" t="str">
        <x:v>Stripe &amp; subscription integration test group</x:v>
      </x:c>
      <x:c r="C107" s="18" t="str">
        <x:v>Integration Tests</x:v>
      </x:c>
      <x:c r="D107" s="18" t="str">
        <x:v>account.updated; subscriptions; payment failed; readiness; webhook transitions</x:v>
      </x:c>
      <x:c r="E107" s="24" t="n">
        <x:v>75</x:v>
      </x:c>
      <x:c r="F107" s="20" t="n">
        <x:v>1.25</x:v>
      </x:c>
      <x:c r="G107" s="18" t="str">
        <x:v>High</x:v>
      </x:c>
      <x:c r="H107" s="18" t="str">
        <x:v>Large real-DB billing group</x:v>
      </x:c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9" t="n">
        <x:v>46242</x:v>
      </x:c>
      <x:c r="B108" s="18" t="str">
        <x:v>Checkout &amp; order integration test group</x:v>
      </x:c>
      <x:c r="C108" s="18" t="str">
        <x:v>Integration Tests</x:v>
      </x:c>
      <x:c r="D108" s="18" t="str">
        <x:v>SHIP/PICKUP, payment status, rate limits, pricing, order items, pagination</x:v>
      </x:c>
      <x:c r="E108" s="24" t="n">
        <x:v>80</x:v>
      </x:c>
      <x:c r="F108" s="20" t="n">
        <x:v>1.3333333333333333</x:v>
      </x:c>
      <x:c r="G108" s="18" t="str">
        <x:v>High</x:v>
      </x:c>
      <x:c r="H108" s="18" t="str">
        <x:v>Large commerce test group</x:v>
      </x:c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9" t="n">
        <x:v>46242</x:v>
      </x:c>
      <x:c r="B109" s="18" t="str">
        <x:v>Artwork/catalog integration test group</x:v>
      </x:c>
      <x:c r="C109" s="18" t="str">
        <x:v>Integration Tests</x:v>
      </x:c>
      <x:c r="D109" s="18" t="str">
        <x:v>create/update/delete, categories, represented artists, SKU, visibility</x:v>
      </x:c>
      <x:c r="E109" s="24" t="n">
        <x:v>70</x:v>
      </x:c>
      <x:c r="F109" s="20" t="n">
        <x:v>1.1666666666666667</x:v>
      </x:c>
      <x:c r="G109" s="18" t="str">
        <x:v>High</x:v>
      </x:c>
      <x:c r="H109" s="18" t="str">
        <x:v>Large catalog group</x:v>
      </x:c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9" t="n">
        <x:v>46242</x:v>
      </x:c>
      <x:c r="B110" s="18" t="str">
        <x:v>Tenant/security integration test group</x:v>
      </x:c>
      <x:c r="C110" s="18" t="str">
        <x:v>Security Tests</x:v>
      </x:c>
      <x:c r="D110" s="18" t="str">
        <x:v>Cross-tenant checkout, membership, auth/path guards, tenant gates</x:v>
      </x:c>
      <x:c r="E110" s="24" t="n">
        <x:v>65</x:v>
      </x:c>
      <x:c r="F110" s="20" t="n">
        <x:v>1.0833333333333333</x:v>
      </x:c>
      <x:c r="G110" s="18" t="str">
        <x:v>High</x:v>
      </x:c>
      <x:c r="H110" s="18" t="str">
        <x:v>Security/tenant isolation group</x:v>
      </x:c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9" t="n">
        <x:v>46242</x:v>
      </x:c>
      <x:c r="B111" s="18" t="str">
        <x:v>Inquiry/Slack integration test group</x:v>
      </x:c>
      <x:c r="C111" s="18" t="str">
        <x:v>Integration Tests</x:v>
      </x:c>
      <x:c r="D111" s="18" t="str">
        <x:v>Inquiry status/reply/tracking, Slack replay/failure persistence</x:v>
      </x:c>
      <x:c r="E111" s="24" t="n">
        <x:v>55</x:v>
      </x:c>
      <x:c r="F111" s="20" t="n">
        <x:v>0.9166666666666666</x:v>
      </x:c>
      <x:c r="G111" s="18" t="str">
        <x:v>High</x:v>
      </x:c>
      <x:c r="H111" s="18" t="str">
        <x:v>Messaging/reliability group</x:v>
      </x:c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9" t="n">
        <x:v>46242</x:v>
      </x:c>
      <x:c r="B112" s="18" t="str">
        <x:v>Browse/filter integration test group</x:v>
      </x:c>
      <x:c r="C112" s="18" t="str">
        <x:v>Integration Tests</x:v>
      </x:c>
      <x:c r="D112" s="18" t="str">
        <x:v>Seller/keyword/location/price/SOLD/RESERVED multi-filter cases</x:v>
      </x:c>
      <x:c r="E112" s="24" t="n">
        <x:v>45</x:v>
      </x:c>
      <x:c r="F112" s="20" t="n">
        <x:v>0.75</x:v>
      </x:c>
      <x:c r="G112" s="18" t="str">
        <x:v>Medium</x:v>
      </x:c>
      <x:c r="H112" s="18" t="str">
        <x:v>Query/filter matrix</x:v>
      </x:c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9" t="n">
        <x:v>46242</x:v>
      </x:c>
      <x:c r="B113" s="18" t="str">
        <x:v>i-Framer integration test group</x:v>
      </x:c>
      <x:c r="C113" s="18" t="str">
        <x:v>Integration Tests</x:v>
      </x:c>
      <x:c r="D113" s="18" t="str">
        <x:v>FRAMING_JOB persistence/dimensions, iFramer alerts/idempotency</x:v>
      </x:c>
      <x:c r="E113" s="24" t="n">
        <x:v>45</x:v>
      </x:c>
      <x:c r="F113" s="20" t="n">
        <x:v>0.75</x:v>
      </x:c>
      <x:c r="G113" s="18" t="str">
        <x:v>High</x:v>
      </x:c>
      <x:c r="H113" s="18" t="str">
        <x:v>Cross-system integration</x:v>
      </x:c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9" t="n">
        <x:v>46244</x:v>
      </x:c>
      <x:c r="B114" s="18" t="str">
        <x:v>Stripe webhook redirect diagnosis</x:v>
      </x:c>
      <x:c r="C114" s="18" t="str">
        <x:v>Production Investigation</x:v>
      </x:c>
      <x:c r="D114" s="18" t="str">
        <x:v>Task #539 308 redirect + diagnostic script</x:v>
      </x:c>
      <x:c r="E114" s="24" t="n">
        <x:v>35</x:v>
      </x:c>
      <x:c r="F114" s="20" t="n">
        <x:v>0.5833333333333334</x:v>
      </x:c>
      <x:c r="G114" s="18" t="str">
        <x:v>High</x:v>
      </x:c>
      <x:c r="H114" s="18" t="str">
        <x:v>Production root-cause analysis</x:v>
      </x:c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9" t="n">
        <x:v>46244</x:v>
      </x:c>
      <x:c r="B115" s="18" t="str">
        <x:v>Vercel Cron redirect impact</x:v>
      </x:c>
      <x:c r="C115" s="18" t="str">
        <x:v>Production Investigation</x:v>
      </x:c>
      <x:c r="D115" s="18" t="str">
        <x:v>Task #540 confirm cron jobs silently dropped</x:v>
      </x:c>
      <x:c r="E115" s="24" t="n">
        <x:v>25</x:v>
      </x:c>
      <x:c r="F115" s="20" t="n">
        <x:v>0.4166666666666667</x:v>
      </x:c>
      <x:c r="G115" s="18" t="str">
        <x:v>High</x:v>
      </x:c>
      <x:c r="H115" s="18" t="str">
        <x:v>Production impact verification</x:v>
      </x:c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9" t="n">
        <x:v>46244</x:v>
      </x:c>
      <x:c r="B116" s="18" t="str">
        <x:v>Scheduled webhook health probe</x:v>
      </x:c>
      <x:c r="C116" s="18" t="str">
        <x:v>CI / Observability</x:v>
      </x:c>
      <x:c r="D116" s="18" t="str">
        <x:v>Task #541 GitHub Actions Slack/email alert</x:v>
      </x:c>
      <x:c r="E116" s="24" t="n">
        <x:v>30</x:v>
      </x:c>
      <x:c r="F116" s="20" t="n">
        <x:v>0.5</x:v>
      </x:c>
      <x:c r="G116" s="18" t="str">
        <x:v>High</x:v>
      </x:c>
      <x:c r="H116" s="18" t="str">
        <x:v>Monitoring workflow</x:v>
      </x:c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9" t="n">
        <x:v>46244</x:v>
      </x:c>
      <x:c r="B117" s="18" t="str">
        <x:v>Webhook alert hourly dedup</x:v>
      </x:c>
      <x:c r="C117" s="18" t="str">
        <x:v>Reliability</x:v>
      </x:c>
      <x:c r="D117" s="18" t="str">
        <x:v>Task #544</x:v>
      </x:c>
      <x:c r="E117" s="24" t="n">
        <x:v>18</x:v>
      </x:c>
      <x:c r="F117" s="20" t="n">
        <x:v>0.3</x:v>
      </x:c>
      <x:c r="G117" s="18" t="str">
        <x:v>Medium</x:v>
      </x:c>
      <x:c r="H117" s="18" t="str">
        <x:v>Flood prevention</x:v>
      </x:c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9" t="n">
        <x:v>46244</x:v>
      </x:c>
      <x:c r="B118" s="18" t="str">
        <x:v>Slack smoke webhook probe</x:v>
      </x:c>
      <x:c r="C118" s="18" t="str">
        <x:v>Observability</x:v>
      </x:c>
      <x:c r="D118" s="18" t="str">
        <x:v>Task #545 route/workflow/RUNBOOK</x:v>
      </x:c>
      <x:c r="E118" s="24" t="n">
        <x:v>25</x:v>
      </x:c>
      <x:c r="F118" s="20" t="n">
        <x:v>0.4166666666666667</x:v>
      </x:c>
      <x:c r="G118" s="18" t="str">
        <x:v>High</x:v>
      </x:c>
      <x:c r="H118" s="18" t="str">
        <x:v>Probe + docs</x:v>
      </x:c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9" t="n">
        <x:v>46244</x:v>
      </x:c>
      <x:c r="B119" s="18" t="str">
        <x:v>Dedup reset tests</x:v>
      </x:c>
      <x:c r="C119" s="18" t="str">
        <x:v>Tests</x:v>
      </x:c>
      <x:c r="D119" s="18" t="str">
        <x:v>Task #548</x:v>
      </x:c>
      <x:c r="E119" s="24" t="n">
        <x:v>12</x:v>
      </x:c>
      <x:c r="F119" s="20" t="n">
        <x:v>0.2</x:v>
      </x:c>
      <x:c r="G119" s="18" t="str">
        <x:v>Low</x:v>
      </x:c>
      <x:c r="H119" s="18" t="str">
        <x:v>Focused tests</x:v>
      </x:c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9" t="n">
        <x:v>46244</x:v>
      </x:c>
      <x:c r="B120" s="18" t="str">
        <x:v>Probe cadence adjustment</x:v>
      </x:c>
      <x:c r="C120" s="18" t="str">
        <x:v>CI</x:v>
      </x:c>
      <x:c r="D120" s="18" t="str">
        <x:v>Task #549 5→15 min</x:v>
      </x:c>
      <x:c r="E120" s="24" t="n">
        <x:v>8</x:v>
      </x:c>
      <x:c r="F120" s="20" t="n">
        <x:v>0.13333333333333333</x:v>
      </x:c>
      <x:c r="G120" s="18" t="str">
        <x:v>Low</x:v>
      </x:c>
      <x:c r="H120" s="18" t="str">
        <x:v>Small config</x:v>
      </x:c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9" t="n">
        <x:v>46244</x:v>
      </x:c>
      <x:c r="B121" s="18" t="str">
        <x:v>Dead-man heartbeat</x:v>
      </x:c>
      <x:c r="C121" s="18" t="str">
        <x:v>Reliability / Observability</x:v>
      </x:c>
      <x:c r="D121" s="18" t="str">
        <x:v>Task #550</x:v>
      </x:c>
      <x:c r="E121" s="24" t="n">
        <x:v>25</x:v>
      </x:c>
      <x:c r="F121" s="20" t="n">
        <x:v>0.4166666666666667</x:v>
      </x:c>
      <x:c r="G121" s="18" t="str">
        <x:v>High</x:v>
      </x:c>
      <x:c r="H121" s="18" t="str">
        <x:v>Monitoring safety net</x:v>
      </x:c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9" t="n">
        <x:v>46244</x:v>
      </x:c>
      <x:c r="B122" s="18" t="str">
        <x:v>Probe URL drift test</x:v>
      </x:c>
      <x:c r="C122" s="18" t="str">
        <x:v>Tests</x:v>
      </x:c>
      <x:c r="D122" s="18" t="str">
        <x:v>Task #551</x:v>
      </x:c>
      <x:c r="E122" s="24" t="n">
        <x:v>12</x:v>
      </x:c>
      <x:c r="F122" s="20" t="n">
        <x:v>0.2</x:v>
      </x:c>
      <x:c r="G122" s="18" t="str">
        <x:v>Medium</x:v>
      </x:c>
      <x:c r="H122" s="18" t="str">
        <x:v>Configuration consistency</x:v>
      </x:c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9" t="n">
        <x:v>46244</x:v>
      </x:c>
      <x:c r="B123" s="18" t="str">
        <x:v>Daily Slack heartbeat verification</x:v>
      </x:c>
      <x:c r="C123" s="18" t="str">
        <x:v>Verification</x:v>
      </x:c>
      <x:c r="D123" s="18" t="str">
        <x:v>Task #554</x:v>
      </x:c>
      <x:c r="E123" s="24" t="n">
        <x:v>12</x:v>
      </x:c>
      <x:c r="F123" s="20" t="n">
        <x:v>0.2</x:v>
      </x:c>
      <x:c r="G123" s="18" t="str">
        <x:v>Low</x:v>
      </x:c>
      <x:c r="H123" s="18" t="str">
        <x:v>Monitoring validation</x:v>
      </x:c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9" t="n">
        <x:v>46244</x:v>
      </x:c>
      <x:c r="B124" s="18" t="str">
        <x:v>healthchecks.io safety net</x:v>
      </x:c>
      <x:c r="C124" s="18" t="str">
        <x:v>Observability</x:v>
      </x:c>
      <x:c r="D124" s="18" t="str">
        <x:v>Task #555</x:v>
      </x:c>
      <x:c r="E124" s="24" t="n">
        <x:v>20</x:v>
      </x:c>
      <x:c r="F124" s="20" t="n">
        <x:v>0.3333333333333333</x:v>
      </x:c>
      <x:c r="G124" s="18" t="str">
        <x:v>Medium</x:v>
      </x:c>
      <x:c r="H124" s="18" t="str">
        <x:v>Second monitoring channel</x:v>
      </x:c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9" t="n">
        <x:v>46244</x:v>
      </x:c>
      <x:c r="B125" s="18" t="str">
        <x:v>Healthcheck skip workflow</x:v>
      </x:c>
      <x:c r="C125" s="18" t="str">
        <x:v>CI / Tests</x:v>
      </x:c>
      <x:c r="D125" s="18" t="str">
        <x:v>Task #556</x:v>
      </x:c>
      <x:c r="E125" s="24" t="n">
        <x:v>15</x:v>
      </x:c>
      <x:c r="F125" s="20" t="n">
        <x:v>0.25</x:v>
      </x:c>
      <x:c r="G125" s="18" t="str">
        <x:v>Medium</x:v>
      </x:c>
      <x:c r="H125" s="18" t="str">
        <x:v>Optional config guard</x:v>
      </x:c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9" t="n">
        <x:v>46244</x:v>
      </x:c>
      <x:c r="B126" s="18" t="str">
        <x:v>Heartbeat after webhook rotation</x:v>
      </x:c>
      <x:c r="C126" s="18" t="str">
        <x:v>Integration Tests</x:v>
      </x:c>
      <x:c r="D126" s="18" t="str">
        <x:v>Task #557</x:v>
      </x:c>
      <x:c r="E126" s="24" t="n">
        <x:v>15</x:v>
      </x:c>
      <x:c r="F126" s="20" t="n">
        <x:v>0.25</x:v>
      </x:c>
      <x:c r="G126" s="18" t="str">
        <x:v>Medium</x:v>
      </x:c>
      <x:c r="H126" s="18" t="str">
        <x:v>Recovery validation</x:v>
      </x:c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9" t="n">
        <x:v>46244</x:v>
      </x:c>
      <x:c r="B127" s="18" t="str">
        <x:v>Slack env wiring + CI triggers</x:v>
      </x:c>
      <x:c r="C127" s="18" t="str">
        <x:v>CI / Tests</x:v>
      </x:c>
      <x:c r="D127" s="18" t="str">
        <x:v>Tasks #559/#560</x:v>
      </x:c>
      <x:c r="E127" s="24" t="n">
        <x:v>20</x:v>
      </x:c>
      <x:c r="F127" s="20" t="n">
        <x:v>0.3333333333333333</x:v>
      </x:c>
      <x:c r="G127" s="18" t="str">
        <x:v>Medium</x:v>
      </x:c>
      <x:c r="H127" s="18" t="str">
        <x:v>Environment/trigger coverage</x:v>
      </x:c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9" t="n">
        <x:v>46244</x:v>
      </x:c>
      <x:c r="B128" s="18" t="str">
        <x:v>SMTP smoke fallback verification</x:v>
      </x:c>
      <x:c r="C128" s="18" t="str">
        <x:v>Reliability</x:v>
      </x:c>
      <x:c r="D128" s="18" t="str">
        <x:v>Task #561</x:v>
      </x:c>
      <x:c r="E128" s="24" t="n">
        <x:v>15</x:v>
      </x:c>
      <x:c r="F128" s="20" t="n">
        <x:v>0.25</x:v>
      </x:c>
      <x:c r="G128" s="18" t="str">
        <x:v>Medium</x:v>
      </x:c>
      <x:c r="H128" s="18" t="str">
        <x:v>Fallback delivery</x:v>
      </x:c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9" t="n">
        <x:v>46244</x:v>
      </x:c>
      <x:c r="B129" s="18" t="str">
        <x:v>SMTP failure summary/canary group</x:v>
      </x:c>
      <x:c r="C129" s="18" t="str">
        <x:v>Reliability Tests</x:v>
      </x:c>
      <x:c r="D129" s="18" t="str">
        <x:v>Tasks #563-#570</x:v>
      </x:c>
      <x:c r="E129" s="24" t="n">
        <x:v>35</x:v>
      </x:c>
      <x:c r="F129" s="20" t="n">
        <x:v>0.5833333333333334</x:v>
      </x:c>
      <x:c r="G129" s="18" t="str">
        <x:v>High</x:v>
      </x:c>
      <x:c r="H129" s="18" t="str">
        <x:v>Multiple alert paths</x:v>
      </x:c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9" t="n">
        <x:v>46244</x:v>
      </x:c>
      <x:c r="B130" s="18" t="str">
        <x:v>Heartbeat dedup test group</x:v>
      </x:c>
      <x:c r="C130" s="18" t="str">
        <x:v>Tests</x:v>
      </x:c>
      <x:c r="D130" s="18" t="str">
        <x:v>Tasks #573-#579/#582/#585-#591/#596-#597</x:v>
      </x:c>
      <x:c r="E130" s="24" t="n">
        <x:v>55</x:v>
      </x:c>
      <x:c r="F130" s="20" t="n">
        <x:v>0.9166666666666666</x:v>
      </x:c>
      <x:c r="G130" s="18" t="str">
        <x:v>High</x:v>
      </x:c>
      <x:c r="H130" s="18" t="str">
        <x:v>Large time/UTC cache matrix</x:v>
      </x:c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9" t="n">
        <x:v>46244</x:v>
      </x:c>
      <x:c r="B131" s="18" t="str">
        <x:v>Manual-dispatch dedup bypass</x:v>
      </x:c>
      <x:c r="C131" s="18" t="str">
        <x:v>Tests</x:v>
      </x:c>
      <x:c r="D131" s="18" t="str">
        <x:v>Tasks #602-#604</x:v>
      </x:c>
      <x:c r="E131" s="24" t="n">
        <x:v>25</x:v>
      </x:c>
      <x:c r="F131" s="20" t="n">
        <x:v>0.4166666666666667</x:v>
      </x:c>
      <x:c r="G131" s="18" t="str">
        <x:v>Medium</x:v>
      </x:c>
      <x:c r="H131" s="18" t="str">
        <x:v>Workflow dispatch edge cases</x:v>
      </x:c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9" t="n">
        <x:v>46244</x:v>
      </x:c>
      <x:c r="B132" s="18" t="str">
        <x:v>Blob upload callback auth fix</x:v>
      </x:c>
      <x:c r="C132" s="18" t="str">
        <x:v>Production Bug Fix</x:v>
      </x:c>
      <x:c r="D132" s="18" t="str">
        <x:v>Parse callback body before session check; resolve 401→400/CORS</x:v>
      </x:c>
      <x:c r="E132" s="24" t="n">
        <x:v>45</x:v>
      </x:c>
      <x:c r="F132" s="20" t="n">
        <x:v>0.75</x:v>
      </x:c>
      <x:c r="G132" s="18" t="str">
        <x:v>High</x:v>
      </x:c>
      <x:c r="H132" s="18" t="str">
        <x:v>Production image upload root cause/fix</x:v>
      </x:c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9" t="n">
        <x:v>46244</x:v>
      </x:c>
      <x:c r="B133" s="18" t="str">
        <x:v>@vercel/blob upgrade</x:v>
      </x:c>
      <x:c r="C133" s="18" t="str">
        <x:v>Dependency</x:v>
      </x:c>
      <x:c r="D133" s="18" t="str">
        <x:v>2.6.1 → 2.7.0</x:v>
      </x:c>
      <x:c r="E133" s="24" t="n">
        <x:v>12</x:v>
      </x:c>
      <x:c r="F133" s="20" t="n">
        <x:v>0.2</x:v>
      </x:c>
      <x:c r="G133" s="18" t="str">
        <x:v>Low</x:v>
      </x:c>
      <x:c r="H133" s="18" t="str">
        <x:v>Dependency update + compatibility check</x:v>
      </x:c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</x:sheetData>
  <x:pageMargins left="0.7" right="0.7" top="0.75" bottom="0.75" header="0.3" footer="0.3"/>
  <x:tableParts count="1">
    <x:tablePart xmlns:r="http://schemas.openxmlformats.org/officeDocument/2006/relationships" r:id="Rbe1170c589fd4e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6" t="str">
        <x:v>Date</x:v>
      </x:c>
      <x:c r="B1" s="6" t="str">
        <x:v>External Activity</x:v>
      </x:c>
      <x:c r="C1" s="6" t="str">
        <x:v>Status</x:v>
      </x:c>
      <x:c r="D1" s="6" t="str">
        <x:v>Low Min</x:v>
      </x:c>
      <x:c r="E1" s="6" t="str">
        <x:v>High Min</x:v>
      </x:c>
      <x:c r="F1" s="6" t="str">
        <x:v>Midpoint Min</x:v>
      </x:c>
      <x:c r="G1" s="6" t="str">
        <x:v>Midpoint Hours</x:v>
      </x:c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9" t="n">
        <x:v>46238</x:v>
      </x:c>
      <x:c r="B2" s="18" t="str">
        <x:v>GitHub Actions CI verification after pnpm v10 fix</x:v>
      </x:c>
      <x:c r="C2" s="18" t="str">
        <x:v>Uncertain</x:v>
      </x:c>
      <x:c r="D2" s="20" t="n">
        <x:v>10</x:v>
      </x:c>
      <x:c r="E2" s="20" t="n">
        <x:v>15</x:v>
      </x:c>
      <x:c r="F2" s="20" t="n">
        <x:v>12.5</x:v>
      </x:c>
      <x:c r="G2" s="20" t="n">
        <x:v>0.20833333333333334</x:v>
      </x:c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9" t="n">
        <x:v>46240</x:v>
      </x:c>
      <x:c r="B3" s="18" t="str">
        <x:v>Vercel primary-domain www/apex verification</x:v>
      </x:c>
      <x:c r="C3" s="18" t="str">
        <x:v>Uncertain</x:v>
      </x:c>
      <x:c r="D3" s="20" t="n">
        <x:v>10</x:v>
      </x:c>
      <x:c r="E3" s="20" t="n">
        <x:v>15</x:v>
      </x:c>
      <x:c r="F3" s="20" t="n">
        <x:v>12.5</x:v>
      </x:c>
      <x:c r="G3" s="20" t="n">
        <x:v>0.20833333333333334</x:v>
      </x:c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9" t="n">
        <x:v>46241</x:v>
      </x:c>
      <x:c r="B4" s="18" t="str">
        <x:v>Vercel Blob connect to production + redeploy + health verify</x:v>
      </x:c>
      <x:c r="C4" s="18" t="str">
        <x:v>Confirmed External</x:v>
      </x:c>
      <x:c r="D4" s="20" t="n">
        <x:v>15</x:v>
      </x:c>
      <x:c r="E4" s="20" t="n">
        <x:v>20</x:v>
      </x:c>
      <x:c r="F4" s="20" t="n">
        <x:v>17.5</x:v>
      </x:c>
      <x:c r="G4" s="20" t="n">
        <x:v>0.2916666666666667</x:v>
      </x:c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9" t="n">
        <x:v>46241</x:v>
      </x:c>
      <x:c r="B5" s="18" t="str">
        <x:v>BLOB_READ_WRITE_TOKEN Preview scope + redeploy</x:v>
      </x:c>
      <x:c r="C5" s="18" t="str">
        <x:v>Confirmed External</x:v>
      </x:c>
      <x:c r="D5" s="20" t="n">
        <x:v>10</x:v>
      </x:c>
      <x:c r="E5" s="20" t="n">
        <x:v>15</x:v>
      </x:c>
      <x:c r="F5" s="20" t="n">
        <x:v>12.5</x:v>
      </x:c>
      <x:c r="G5" s="20" t="n">
        <x:v>0.20833333333333334</x:v>
      </x:c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9" t="n">
        <x:v>46241</x:v>
      </x:c>
      <x:c r="B6" s="18" t="str">
        <x:v>Live-site browser testing/checklist</x:v>
      </x:c>
      <x:c r="C6" s="18" t="str">
        <x:v>Confirmed External</x:v>
      </x:c>
      <x:c r="D6" s="20" t="n">
        <x:v>15</x:v>
      </x:c>
      <x:c r="E6" s="20" t="n">
        <x:v>25</x:v>
      </x:c>
      <x:c r="F6" s="20" t="n">
        <x:v>20</x:v>
      </x:c>
      <x:c r="G6" s="20" t="n">
        <x:v>0.3333333333333333</x:v>
      </x:c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9" t="n">
        <x:v>46241</x:v>
      </x:c>
      <x:c r="B7" s="18" t="str">
        <x:v>Stripe webhook delivery review / 308 redirect</x:v>
      </x:c>
      <x:c r="C7" s="18" t="str">
        <x:v>Confirmed External</x:v>
      </x:c>
      <x:c r="D7" s="20" t="n">
        <x:v>15</x:v>
      </x:c>
      <x:c r="E7" s="20" t="n">
        <x:v>20</x:v>
      </x:c>
      <x:c r="F7" s="20" t="n">
        <x:v>17.5</x:v>
      </x:c>
      <x:c r="G7" s="20" t="n">
        <x:v>0.2916666666666667</x:v>
      </x:c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9" t="n">
        <x:v>46244</x:v>
      </x:c>
      <x:c r="B8" s="18" t="str">
        <x:v>Browser DevTools + Vercel logs blob 400/CORS investigation</x:v>
      </x:c>
      <x:c r="C8" s="18" t="str">
        <x:v>Confirmed External</x:v>
      </x:c>
      <x:c r="D8" s="20" t="n">
        <x:v>20</x:v>
      </x:c>
      <x:c r="E8" s="20" t="n">
        <x:v>30</x:v>
      </x:c>
      <x:c r="F8" s="20" t="n">
        <x:v>25</x:v>
      </x:c>
      <x:c r="G8" s="20" t="n">
        <x:v>0.4166666666666667</x:v>
      </x:c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9" t="n">
        <x:v>46244</x:v>
      </x:c>
      <x:c r="B9" s="18" t="str">
        <x:v>Post-deploy blob upload verification</x:v>
      </x:c>
      <x:c r="C9" s="18" t="str">
        <x:v>Pending</x:v>
      </x:c>
      <x:c r="D9" s="20" t="n">
        <x:v>15</x:v>
      </x:c>
      <x:c r="E9" s="20" t="n">
        <x:v>20</x:v>
      </x:c>
      <x:c r="F9" s="20" t="n">
        <x:v>17.5</x:v>
      </x:c>
      <x:c r="G9" s="20" t="n">
        <x:v>0.2916666666666667</x:v>
      </x:c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</x:sheetData>
  <x:pageMargins left="0.7" right="0.7" top="0.75" bottom="0.75" header="0.3" footer="0.3"/>
  <x:tableParts count="1">
    <x:tablePart xmlns:r="http://schemas.openxmlformats.org/officeDocument/2006/relationships" r:id="Ra17ec08609f443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8" t="str">
        <x:v>Purpose</x:v>
      </x:c>
      <x:c r="B1" s="18" t="str">
        <x:v>Reconstruct conservative engineering-effort estimates for Aug 1–10, 2026 from the supplied Artwork Bank work-history report.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8" t="str">
        <x:v>Important</x:v>
      </x:c>
      <x:c r="B2" s="18" t="str">
        <x:v>These are ESTIMATED engineering-effort hours, not recorded actual time. The source says WORK_LOG.md has no time values and Git timestamps should not be used as a human-hours proxy.</x:v>
      </x:c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18" t="str">
        <x:v>Task estimate method</x:v>
      </x:c>
      <x:c r="B3" s="18" t="str">
        <x:v>Each task/group estimate covers analysis/prompt preparation, reviewing generated changes, testing/validation, and approval/follow-up. Unattended agent execution is excluded.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18" t="str">
        <x:v>Commit count</x:v>
      </x:c>
      <x:c r="B4" s="18" t="str">
        <x:v>Commit count is supporting evidence only and is NOT directly converted into time.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18" t="str">
        <x:v>External time</x:v>
      </x:c>
      <x:c r="B5" s="18" t="str">
        <x:v>External work preserves source low/high ranges. Daily Summary uses midpoint of CONFIRMED EXTERNAL items only.</x:v>
      </x:c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18" t="str">
        <x:v>Uncertain external</x:v>
      </x:c>
      <x:c r="B6" s="18" t="str">
        <x:v>Aug 4/Aug 6 external items are shown separately and excluded from main daily total to avoid double counting.</x:v>
      </x:c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18" t="str">
        <x:v>Pending external</x:v>
      </x:c>
      <x:c r="B7" s="18" t="str">
        <x:v>Aug 10 post-deploy verification is excluded until confirmed performed.</x:v>
      </x:c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18" t="str">
        <x:v>Invoice use</x:v>
      </x:c>
      <x:c r="B8" s="18" t="str">
        <x:v>Replace reconstructed estimates with actual timer records when available; retain task detail as evidence of volume/complexity.</x:v>
      </x:c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70" hidden="0" customWidth="1"/>
    <x:col min="10" max="10" width="55" hidden="0" customWidth="1"/>
  </x:cols>
  <x:sheetData>
    <x:row r="1">
      <x:c r="A1" s="35" t="str">
        <x:v>Week</x:v>
      </x:c>
      <x:c r="B1" s="35" t="str">
        <x:v>Period</x:v>
      </x:c>
      <x:c r="C1" s="35" t="str">
        <x:v>Active Days</x:v>
      </x:c>
      <x:c r="D1" s="35" t="str">
        <x:v>Task Estimate Hrs</x:v>
      </x:c>
      <x:c r="E1" s="35" t="str">
        <x:v>Confirmed External Hrs</x:v>
      </x:c>
      <x:c r="F1" s="35" t="str">
        <x:v>Uncertain External Hrs</x:v>
      </x:c>
      <x:c r="G1" s="35" t="str">
        <x:v>Pending External Hrs</x:v>
      </x:c>
      <x:c r="H1" s="35" t="str">
        <x:v>Estimated Total Hrs</x:v>
      </x:c>
      <x:c r="I1" s="35" t="str">
        <x:v>Major Deliverables</x:v>
      </x:c>
      <x:c r="J1" s="35" t="str">
        <x:v>Invoice Note</x:v>
      </x:c>
    </x:row>
    <x:row r="2">
      <x:c r="A2" s="18" t="str">
        <x:v>Week 1</x:v>
      </x:c>
      <x:c r="B2" s="18" t="str">
        <x:v>Aug 1–6, 2026</x:v>
      </x:c>
      <x:c r="C2" s="18" t="n">
        <x:v>5</x:v>
      </x:c>
      <x:c r="D2" s="20" t="n">
        <x:f>SUM('Daily Summary'!C2:C7)</x:f>
        <x:v>31.866666666666667</x:v>
      </x:c>
      <x:c r="E2" s="20" t="n">
        <x:f>SUM('Daily Summary'!E2:E7)</x:f>
        <x:v>0</x:v>
      </x:c>
      <x:c r="F2" s="20" t="n">
        <x:f>SUM('Daily Summary'!F2:F7)/60</x:f>
        <x:v>0.4166666666666667</x:v>
      </x:c>
      <x:c r="G2" s="20" t="n">
        <x:f>SUM('Daily Summary'!G2:G7)/60</x:f>
        <x:v>0</x:v>
      </x:c>
      <x:c r="H2" s="20" t="n">
        <x:f>D2+E2</x:f>
        <x:v>31.866666666666667</x:v>
      </x:c>
      <x:c r="I2" s="18" t="str">
        <x:v>Privacy/Terms; 30-day trial; Stripe fixes; subdomain/security fixes; production bug fixes; CI repair; require-db boundary suite; Stripe/refund/storage work; weekly reports.</x:v>
      </x:c>
      <x:c r="J2" s="18" t="str">
        <x:v>Estimated/reconstructed engineering effort. Uncertain external time excluded from main total.</x:v>
      </x:c>
    </x:row>
    <x:row r="3">
      <x:c r="A3" s="18" t="str">
        <x:v>Week 2</x:v>
      </x:c>
      <x:c r="B3" s="18" t="str">
        <x:v>Aug 7–10, 2026</x:v>
      </x:c>
      <x:c r="C3" s="18" t="n">
        <x:v>3</x:v>
      </x:c>
      <x:c r="D3" s="20" t="n">
        <x:f>SUM('Daily Summary'!C8:C11)</x:f>
        <x:v>23.15</x:v>
      </x:c>
      <x:c r="E3" s="20" t="n">
        <x:f>SUM('Daily Summary'!E8:E11)</x:f>
        <x:v>1.5416666666666667</x:v>
      </x:c>
      <x:c r="F3" s="20" t="n">
        <x:f>SUM('Daily Summary'!F8:F11)/60</x:f>
        <x:v>0</x:v>
      </x:c>
      <x:c r="G3" s="20" t="n">
        <x:f>SUM('Daily Summary'!G8:G11)/60</x:f>
        <x:v>0.2916666666666667</x:v>
      </x:c>
      <x:c r="H3" s="20" t="n">
        <x:f>D3+E3</x:f>
        <x:v>24.691666666666666</x:v>
      </x:c>
      <x:c r="I3" s="18" t="str">
        <x:v>i-Framer Premium; Slack smoke CI; storage troubleshooting; 50+ integration-test tasks; platform UI; webhook health/heartbeat system; Blob upload authentication fix.</x:v>
      </x:c>
      <x:c r="J3" s="18" t="str">
        <x:v>Includes confirmed external midpoint only. Pending Aug 10 verification excluded.</x:v>
      </x:c>
    </x:row>
    <x:row r="4">
      <x:c r="A4" s="18"/>
      <x:c r="B4" s="18"/>
      <x:c r="C4" s="18"/>
      <x:c r="D4" s="20"/>
      <x:c r="E4" s="20"/>
      <x:c r="F4" s="20"/>
      <x:c r="G4" s="20"/>
      <x:c r="H4" s="20"/>
      <x:c r="I4" s="18"/>
      <x:c r="J4" s="18"/>
    </x:row>
    <x:row r="5">
      <x:c r="A5" s="38" t="str">
        <x:v>MONTH-TO-DATE</x:v>
      </x:c>
      <x:c r="B5" s="38" t="str">
        <x:v>Aug 1–10, 2026</x:v>
      </x:c>
      <x:c r="C5" s="38" t="n">
        <x:v>8</x:v>
      </x:c>
      <x:c r="D5" s="39" t="n">
        <x:f>SUM(D2:D3)</x:f>
        <x:v>55.016666666666666</x:v>
      </x:c>
      <x:c r="E5" s="39" t="n">
        <x:f>SUM(E2:E3)</x:f>
        <x:v>1.5416666666666667</x:v>
      </x:c>
      <x:c r="F5" s="39" t="n">
        <x:f>SUM(F2:F3)</x:f>
        <x:v>0.4166666666666667</x:v>
      </x:c>
      <x:c r="G5" s="39" t="n">
        <x:f>SUM(G2:G3)</x:f>
        <x:v>0.2916666666666667</x:v>
      </x:c>
      <x:c r="H5" s="39" t="n">
        <x:f>SUM(H2:H3)</x:f>
        <x:v>56.55833333333334</x:v>
      </x:c>
      <x:c r="I5" s="38" t="str">
        <x:v>~190+ completed/merged activities; 399 commits; major production, security, billing, storage, monitoring, and integration-test work.</x:v>
      </x:c>
      <x:c r="J5" s="38" t="str">
        <x:v>Main total is estimated task effort + confirmed external midpoint; not contemporaneously recorded hours.</x:v>
      </x:c>
    </x:row>
  </x:sheetData>
  <x:pageMargins left="0.7" right="0.7" top="0.75" bottom="0.75" header="0.3" footer="0.3"/>
  <x:drawing xmlns:r="http://schemas.openxmlformats.org/officeDocument/2006/relationships" r:id="Ra621545d95c54500"/>
  <x:tableParts count="1">
    <x:tablePart xmlns:r="http://schemas.openxmlformats.org/officeDocument/2006/relationships" r:id="R7b9cfc338fbf4ae2"/>
  </x:tableParts>
</x:worksheet>
</file>